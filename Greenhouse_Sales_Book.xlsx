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OOP\2026 Docs\Greenhouse Dashboard\"/>
    </mc:Choice>
  </mc:AlternateContent>
  <bookViews>
    <workbookView xWindow="0" yWindow="0" windowWidth="6540" windowHeight="6945" activeTab="1"/>
  </bookViews>
  <sheets>
    <sheet name="Market prices" sheetId="1" r:id="rId1"/>
    <sheet name="Daily Sales Record" sheetId="2" r:id="rId2"/>
    <sheet name="Scenarios Profitability Tracker" sheetId="3" r:id="rId3"/>
    <sheet name="Guide" sheetId="4" state="hidden" r:id="rId4"/>
    <sheet name="Weighing Reference" sheetId="5" r:id="rId5"/>
  </sheets>
  <calcPr calcId="162913"/>
  <extLst>
    <ext uri="GoogleSheetsCustomDataVersion2">
      <go:sheetsCustomData xmlns:go="http://customooxmlschemas.google.com/" r:id="rId9" roundtripDataChecksum="cXMLLrwEbY8wU2GhX23sLfkQvgClYDZjbwSnC6gqBeQ="/>
    </ext>
  </extLst>
</workbook>
</file>

<file path=xl/calcChain.xml><?xml version="1.0" encoding="utf-8"?>
<calcChain xmlns="http://schemas.openxmlformats.org/spreadsheetml/2006/main">
  <c r="E28" i="5" l="1"/>
  <c r="E27" i="5"/>
  <c r="E26" i="5"/>
  <c r="E25" i="5"/>
  <c r="F22" i="5"/>
  <c r="E22" i="5"/>
  <c r="E21" i="5"/>
  <c r="H52" i="1" s="1"/>
  <c r="I52" i="1" s="1"/>
  <c r="D21" i="5"/>
  <c r="F21" i="5" s="1"/>
  <c r="F20" i="5"/>
  <c r="E20" i="5"/>
  <c r="L19" i="5"/>
  <c r="F19" i="5"/>
  <c r="E19" i="5"/>
  <c r="L18" i="5"/>
  <c r="F18" i="5"/>
  <c r="E18" i="5"/>
  <c r="L17" i="5"/>
  <c r="F17" i="5"/>
  <c r="E17" i="5"/>
  <c r="H24" i="1" s="1"/>
  <c r="I24" i="1" s="1"/>
  <c r="F16" i="5"/>
  <c r="E16" i="5"/>
  <c r="F15" i="5"/>
  <c r="E15" i="5"/>
  <c r="F14" i="5"/>
  <c r="E14" i="5"/>
  <c r="J13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K35" i="3"/>
  <c r="H35" i="3"/>
  <c r="K34" i="3"/>
  <c r="H34" i="3"/>
  <c r="K33" i="3"/>
  <c r="H33" i="3"/>
  <c r="K31" i="3"/>
  <c r="J31" i="3"/>
  <c r="L31" i="3" s="1"/>
  <c r="O31" i="3" s="1"/>
  <c r="H31" i="3"/>
  <c r="K30" i="3"/>
  <c r="H30" i="3"/>
  <c r="K29" i="3"/>
  <c r="H29" i="3"/>
  <c r="K27" i="3"/>
  <c r="D27" i="3"/>
  <c r="F27" i="3" s="1"/>
  <c r="K25" i="3"/>
  <c r="H25" i="3"/>
  <c r="K24" i="3"/>
  <c r="J24" i="3"/>
  <c r="L24" i="3" s="1"/>
  <c r="O24" i="3" s="1"/>
  <c r="H24" i="3"/>
  <c r="K23" i="3"/>
  <c r="H23" i="3"/>
  <c r="K21" i="3"/>
  <c r="H21" i="3"/>
  <c r="K20" i="3"/>
  <c r="H20" i="3"/>
  <c r="F20" i="3"/>
  <c r="M20" i="3" s="1"/>
  <c r="K19" i="3"/>
  <c r="H19" i="3"/>
  <c r="D19" i="3"/>
  <c r="F19" i="3" s="1"/>
  <c r="M19" i="3" s="1"/>
  <c r="K18" i="3"/>
  <c r="H18" i="3"/>
  <c r="K16" i="3"/>
  <c r="H16" i="3"/>
  <c r="F16" i="3"/>
  <c r="M16" i="3" s="1"/>
  <c r="K15" i="3"/>
  <c r="H15" i="3"/>
  <c r="K14" i="3"/>
  <c r="H14" i="3"/>
  <c r="K13" i="3"/>
  <c r="H13" i="3"/>
  <c r="G13" i="3"/>
  <c r="I13" i="3" s="1"/>
  <c r="K11" i="3"/>
  <c r="D11" i="3"/>
  <c r="F11" i="3" s="1"/>
  <c r="M11" i="3" s="1"/>
  <c r="K9" i="3"/>
  <c r="H9" i="3"/>
  <c r="G9" i="3"/>
  <c r="I9" i="3" s="1"/>
  <c r="N9" i="3" s="1"/>
  <c r="K8" i="3"/>
  <c r="H8" i="3"/>
  <c r="F8" i="3"/>
  <c r="M8" i="3" s="1"/>
  <c r="K7" i="3"/>
  <c r="H7" i="3"/>
  <c r="K6" i="3"/>
  <c r="H6" i="3"/>
  <c r="L26" i="2"/>
  <c r="N26" i="2" s="1"/>
  <c r="O26" i="2" s="1"/>
  <c r="F26" i="2"/>
  <c r="G26" i="2" s="1"/>
  <c r="L25" i="2"/>
  <c r="F25" i="2"/>
  <c r="H25" i="2" s="1"/>
  <c r="L24" i="2"/>
  <c r="D34" i="3" s="1"/>
  <c r="F34" i="3" s="1"/>
  <c r="M34" i="3" s="1"/>
  <c r="F24" i="2"/>
  <c r="L23" i="2"/>
  <c r="H23" i="2"/>
  <c r="G23" i="2"/>
  <c r="F23" i="2"/>
  <c r="L22" i="2"/>
  <c r="F22" i="2"/>
  <c r="H22" i="2" s="1"/>
  <c r="L21" i="2"/>
  <c r="F21" i="2"/>
  <c r="H21" i="2" s="1"/>
  <c r="L20" i="2"/>
  <c r="D29" i="3" s="1"/>
  <c r="F29" i="3" s="1"/>
  <c r="F20" i="2"/>
  <c r="N19" i="2"/>
  <c r="O19" i="2" s="1"/>
  <c r="H19" i="2"/>
  <c r="F19" i="2"/>
  <c r="G19" i="2" s="1"/>
  <c r="L18" i="2"/>
  <c r="N18" i="2" s="1"/>
  <c r="O18" i="2" s="1"/>
  <c r="H18" i="2"/>
  <c r="F18" i="2"/>
  <c r="G18" i="2" s="1"/>
  <c r="L17" i="2"/>
  <c r="D24" i="3" s="1"/>
  <c r="F24" i="3" s="1"/>
  <c r="M24" i="3" s="1"/>
  <c r="F17" i="2"/>
  <c r="H17" i="2" s="1"/>
  <c r="L16" i="2"/>
  <c r="D23" i="3" s="1"/>
  <c r="F23" i="3" s="1"/>
  <c r="F16" i="2"/>
  <c r="G16" i="2" s="1"/>
  <c r="L15" i="2"/>
  <c r="D21" i="3" s="1"/>
  <c r="F21" i="3" s="1"/>
  <c r="M21" i="3" s="1"/>
  <c r="H15" i="2"/>
  <c r="L14" i="2"/>
  <c r="D20" i="3" s="1"/>
  <c r="H14" i="2"/>
  <c r="L13" i="2"/>
  <c r="N13" i="2" s="1"/>
  <c r="O13" i="2" s="1"/>
  <c r="H13" i="2"/>
  <c r="L12" i="2"/>
  <c r="N12" i="2" s="1"/>
  <c r="O12" i="2" s="1"/>
  <c r="H12" i="2"/>
  <c r="L11" i="2"/>
  <c r="D15" i="3" s="1"/>
  <c r="F15" i="3" s="1"/>
  <c r="M15" i="3" s="1"/>
  <c r="H11" i="2"/>
  <c r="L10" i="2"/>
  <c r="D14" i="3" s="1"/>
  <c r="F14" i="3" s="1"/>
  <c r="M14" i="3" s="1"/>
  <c r="H10" i="2"/>
  <c r="L9" i="2"/>
  <c r="D13" i="3" s="1"/>
  <c r="F13" i="3" s="1"/>
  <c r="M13" i="3" s="1"/>
  <c r="H9" i="2"/>
  <c r="L8" i="2"/>
  <c r="N8" i="2" s="1"/>
  <c r="O8" i="2" s="1"/>
  <c r="H8" i="2"/>
  <c r="L7" i="2"/>
  <c r="N7" i="2" s="1"/>
  <c r="O7" i="2" s="1"/>
  <c r="H7" i="2"/>
  <c r="G7" i="2"/>
  <c r="F7" i="2"/>
  <c r="L6" i="2"/>
  <c r="G8" i="3" s="1"/>
  <c r="I8" i="3" s="1"/>
  <c r="N8" i="3" s="1"/>
  <c r="H6" i="2"/>
  <c r="F6" i="2"/>
  <c r="G6" i="2" s="1"/>
  <c r="L5" i="2"/>
  <c r="G7" i="3" s="1"/>
  <c r="I7" i="3" s="1"/>
  <c r="N7" i="3" s="1"/>
  <c r="F5" i="2"/>
  <c r="H5" i="2" s="1"/>
  <c r="N4" i="2"/>
  <c r="O4" i="2" s="1"/>
  <c r="L4" i="2"/>
  <c r="G6" i="3" s="1"/>
  <c r="I6" i="3" s="1"/>
  <c r="F4" i="2"/>
  <c r="G4" i="2" s="1"/>
  <c r="G54" i="1"/>
  <c r="H53" i="1"/>
  <c r="I53" i="1" s="1"/>
  <c r="H51" i="1"/>
  <c r="I51" i="1" s="1"/>
  <c r="G51" i="1"/>
  <c r="G50" i="1"/>
  <c r="I50" i="1" s="1"/>
  <c r="I49" i="1"/>
  <c r="G49" i="1"/>
  <c r="G48" i="1"/>
  <c r="I48" i="1" s="1"/>
  <c r="I47" i="1"/>
  <c r="H47" i="1"/>
  <c r="G47" i="1"/>
  <c r="H46" i="1"/>
  <c r="I46" i="1" s="1"/>
  <c r="G46" i="1"/>
  <c r="H45" i="1"/>
  <c r="G45" i="1"/>
  <c r="G44" i="1"/>
  <c r="I44" i="1" s="1"/>
  <c r="H43" i="1"/>
  <c r="I43" i="1" s="1"/>
  <c r="G43" i="1"/>
  <c r="H42" i="1"/>
  <c r="G42" i="1"/>
  <c r="G41" i="1"/>
  <c r="I40" i="1"/>
  <c r="G40" i="1"/>
  <c r="G39" i="1"/>
  <c r="I39" i="1" s="1"/>
  <c r="I38" i="1"/>
  <c r="H38" i="1"/>
  <c r="G38" i="1"/>
  <c r="G37" i="1"/>
  <c r="I37" i="1" s="1"/>
  <c r="G36" i="1"/>
  <c r="I35" i="1"/>
  <c r="H35" i="1"/>
  <c r="G35" i="1"/>
  <c r="G34" i="1"/>
  <c r="I34" i="1" s="1"/>
  <c r="G33" i="1"/>
  <c r="I33" i="1" s="1"/>
  <c r="G32" i="1"/>
  <c r="I32" i="1" s="1"/>
  <c r="G31" i="1"/>
  <c r="I31" i="1" s="1"/>
  <c r="H30" i="1"/>
  <c r="I30" i="1" s="1"/>
  <c r="G30" i="1"/>
  <c r="H29" i="1"/>
  <c r="G29" i="1"/>
  <c r="H28" i="1"/>
  <c r="I28" i="1" s="1"/>
  <c r="G28" i="1"/>
  <c r="I27" i="1"/>
  <c r="G27" i="1"/>
  <c r="H26" i="1"/>
  <c r="G24" i="3" s="1"/>
  <c r="I24" i="3" s="1"/>
  <c r="N24" i="3" s="1"/>
  <c r="G26" i="1"/>
  <c r="H25" i="1"/>
  <c r="I25" i="1" s="1"/>
  <c r="G25" i="1"/>
  <c r="G24" i="1"/>
  <c r="G23" i="1"/>
  <c r="I23" i="1" s="1"/>
  <c r="H22" i="1"/>
  <c r="I22" i="1" s="1"/>
  <c r="G22" i="1"/>
  <c r="I21" i="1"/>
  <c r="G21" i="1"/>
  <c r="G20" i="1"/>
  <c r="H19" i="1"/>
  <c r="I19" i="1" s="1"/>
  <c r="D8" i="3" s="1"/>
  <c r="G19" i="1"/>
  <c r="I18" i="1"/>
  <c r="G18" i="1"/>
  <c r="G17" i="1"/>
  <c r="I17" i="1" s="1"/>
  <c r="I16" i="1"/>
  <c r="D7" i="3" s="1"/>
  <c r="F7" i="3" s="1"/>
  <c r="M7" i="3" s="1"/>
  <c r="H16" i="1"/>
  <c r="G16" i="1"/>
  <c r="G15" i="1"/>
  <c r="I14" i="1"/>
  <c r="H14" i="1"/>
  <c r="G14" i="1"/>
  <c r="G13" i="1"/>
  <c r="I12" i="1"/>
  <c r="H12" i="1"/>
  <c r="G12" i="1"/>
  <c r="H11" i="1"/>
  <c r="I11" i="1" s="1"/>
  <c r="D6" i="3" s="1"/>
  <c r="F6" i="3" s="1"/>
  <c r="G11" i="1"/>
  <c r="G10" i="1"/>
  <c r="H9" i="1"/>
  <c r="I9" i="1" s="1"/>
  <c r="D9" i="3" s="1"/>
  <c r="F9" i="3" s="1"/>
  <c r="M9" i="3" s="1"/>
  <c r="G9" i="1"/>
  <c r="G8" i="1"/>
  <c r="H7" i="1"/>
  <c r="I7" i="1" s="1"/>
  <c r="G7" i="1"/>
  <c r="G6" i="1"/>
  <c r="H5" i="1"/>
  <c r="I5" i="1" s="1"/>
  <c r="G5" i="1"/>
  <c r="H4" i="1"/>
  <c r="I4" i="1" s="1"/>
  <c r="G4" i="1"/>
  <c r="D25" i="3" l="1"/>
  <c r="F25" i="3" s="1"/>
  <c r="M25" i="3" s="1"/>
  <c r="N17" i="2"/>
  <c r="O17" i="2" s="1"/>
  <c r="G21" i="2"/>
  <c r="G25" i="2"/>
  <c r="D18" i="3"/>
  <c r="F18" i="3" s="1"/>
  <c r="N5" i="2"/>
  <c r="O5" i="2" s="1"/>
  <c r="N9" i="2"/>
  <c r="O9" i="2" s="1"/>
  <c r="N10" i="2"/>
  <c r="O10" i="2" s="1"/>
  <c r="N11" i="2"/>
  <c r="O11" i="2" s="1"/>
  <c r="N14" i="2"/>
  <c r="O14" i="2" s="1"/>
  <c r="N15" i="2"/>
  <c r="O15" i="2" s="1"/>
  <c r="N16" i="2"/>
  <c r="O16" i="2" s="1"/>
  <c r="F12" i="3"/>
  <c r="N21" i="2"/>
  <c r="O21" i="2" s="1"/>
  <c r="D30" i="3"/>
  <c r="F30" i="3" s="1"/>
  <c r="M30" i="3" s="1"/>
  <c r="M18" i="3"/>
  <c r="F22" i="3"/>
  <c r="F26" i="3"/>
  <c r="M23" i="3"/>
  <c r="G29" i="3"/>
  <c r="I29" i="3" s="1"/>
  <c r="G15" i="3"/>
  <c r="I15" i="3" s="1"/>
  <c r="N15" i="3" s="1"/>
  <c r="G35" i="3"/>
  <c r="I35" i="3" s="1"/>
  <c r="N35" i="3" s="1"/>
  <c r="G20" i="3"/>
  <c r="I20" i="3" s="1"/>
  <c r="N20" i="3" s="1"/>
  <c r="G23" i="3"/>
  <c r="I23" i="3" s="1"/>
  <c r="G11" i="3"/>
  <c r="I11" i="3" s="1"/>
  <c r="I29" i="1"/>
  <c r="I42" i="1"/>
  <c r="J25" i="3"/>
  <c r="L25" i="3" s="1"/>
  <c r="O25" i="3" s="1"/>
  <c r="J14" i="3"/>
  <c r="L14" i="3" s="1"/>
  <c r="O14" i="3" s="1"/>
  <c r="J33" i="3"/>
  <c r="L33" i="3" s="1"/>
  <c r="J30" i="3"/>
  <c r="L30" i="3" s="1"/>
  <c r="O30" i="3" s="1"/>
  <c r="J8" i="3"/>
  <c r="L8" i="3" s="1"/>
  <c r="O8" i="3" s="1"/>
  <c r="J27" i="3"/>
  <c r="L27" i="3" s="1"/>
  <c r="D35" i="3"/>
  <c r="F35" i="3" s="1"/>
  <c r="M35" i="3" s="1"/>
  <c r="N25" i="2"/>
  <c r="O25" i="2" s="1"/>
  <c r="H54" i="1"/>
  <c r="I54" i="1" s="1"/>
  <c r="H20" i="1"/>
  <c r="I20" i="1" s="1"/>
  <c r="H36" i="1"/>
  <c r="I36" i="1" s="1"/>
  <c r="G33" i="3"/>
  <c r="I33" i="3" s="1"/>
  <c r="G30" i="3"/>
  <c r="I30" i="3" s="1"/>
  <c r="N30" i="3" s="1"/>
  <c r="G27" i="3"/>
  <c r="I27" i="3" s="1"/>
  <c r="G25" i="3"/>
  <c r="I25" i="3" s="1"/>
  <c r="N25" i="3" s="1"/>
  <c r="G19" i="3"/>
  <c r="I19" i="3" s="1"/>
  <c r="N19" i="3" s="1"/>
  <c r="I45" i="1"/>
  <c r="H20" i="2"/>
  <c r="G20" i="2"/>
  <c r="D31" i="3"/>
  <c r="F31" i="3" s="1"/>
  <c r="M31" i="3" s="1"/>
  <c r="N22" i="2"/>
  <c r="O22" i="2" s="1"/>
  <c r="N6" i="3"/>
  <c r="I10" i="3"/>
  <c r="N13" i="3"/>
  <c r="F10" i="3"/>
  <c r="M6" i="3"/>
  <c r="G18" i="3"/>
  <c r="I18" i="3" s="1"/>
  <c r="G34" i="3"/>
  <c r="I34" i="3" s="1"/>
  <c r="N34" i="3" s="1"/>
  <c r="G31" i="3"/>
  <c r="I31" i="3" s="1"/>
  <c r="N31" i="3" s="1"/>
  <c r="J21" i="3"/>
  <c r="L21" i="3" s="1"/>
  <c r="O21" i="3" s="1"/>
  <c r="J16" i="3"/>
  <c r="L16" i="3" s="1"/>
  <c r="O16" i="3" s="1"/>
  <c r="J6" i="3"/>
  <c r="L6" i="3" s="1"/>
  <c r="J7" i="3"/>
  <c r="L7" i="3" s="1"/>
  <c r="O7" i="3" s="1"/>
  <c r="J34" i="3"/>
  <c r="L34" i="3" s="1"/>
  <c r="O34" i="3" s="1"/>
  <c r="J18" i="3"/>
  <c r="L18" i="3" s="1"/>
  <c r="J13" i="3"/>
  <c r="L13" i="3" s="1"/>
  <c r="H24" i="2"/>
  <c r="G24" i="2"/>
  <c r="G14" i="3"/>
  <c r="I14" i="3" s="1"/>
  <c r="N14" i="3" s="1"/>
  <c r="F17" i="3"/>
  <c r="J19" i="3"/>
  <c r="L19" i="3" s="1"/>
  <c r="O19" i="3" s="1"/>
  <c r="I26" i="1"/>
  <c r="H4" i="2"/>
  <c r="G5" i="2"/>
  <c r="N6" i="2"/>
  <c r="O6" i="2" s="1"/>
  <c r="H16" i="2"/>
  <c r="G17" i="2"/>
  <c r="F32" i="3"/>
  <c r="M29" i="3"/>
  <c r="N23" i="2"/>
  <c r="O23" i="2" s="1"/>
  <c r="D33" i="3"/>
  <c r="F33" i="3" s="1"/>
  <c r="M27" i="3"/>
  <c r="F28" i="3"/>
  <c r="H41" i="1"/>
  <c r="I41" i="1" s="1"/>
  <c r="N20" i="2"/>
  <c r="O20" i="2" s="1"/>
  <c r="G22" i="2"/>
  <c r="N24" i="2"/>
  <c r="O24" i="2" s="1"/>
  <c r="O27" i="3" l="1"/>
  <c r="L28" i="3"/>
  <c r="O13" i="3"/>
  <c r="O6" i="3"/>
  <c r="I26" i="3"/>
  <c r="N23" i="3"/>
  <c r="F36" i="3"/>
  <c r="M33" i="3"/>
  <c r="O18" i="3"/>
  <c r="N18" i="3"/>
  <c r="I36" i="3"/>
  <c r="N33" i="3"/>
  <c r="J29" i="3"/>
  <c r="L29" i="3" s="1"/>
  <c r="J15" i="3"/>
  <c r="L15" i="3" s="1"/>
  <c r="O15" i="3" s="1"/>
  <c r="J11" i="3"/>
  <c r="L11" i="3" s="1"/>
  <c r="J35" i="3"/>
  <c r="L35" i="3" s="1"/>
  <c r="O35" i="3" s="1"/>
  <c r="J9" i="3"/>
  <c r="L9" i="3" s="1"/>
  <c r="O9" i="3" s="1"/>
  <c r="J23" i="3"/>
  <c r="L23" i="3" s="1"/>
  <c r="J20" i="3"/>
  <c r="L20" i="3" s="1"/>
  <c r="O20" i="3" s="1"/>
  <c r="I28" i="3"/>
  <c r="N27" i="3"/>
  <c r="N11" i="3"/>
  <c r="I12" i="3"/>
  <c r="I32" i="3"/>
  <c r="N29" i="3"/>
  <c r="G16" i="3"/>
  <c r="I16" i="3" s="1"/>
  <c r="N16" i="3" s="1"/>
  <c r="G21" i="3"/>
  <c r="I21" i="3" s="1"/>
  <c r="N21" i="3" s="1"/>
  <c r="O33" i="3"/>
  <c r="L36" i="3"/>
  <c r="O11" i="3" l="1"/>
  <c r="L12" i="3"/>
  <c r="L26" i="3"/>
  <c r="O23" i="3"/>
  <c r="L22" i="3"/>
  <c r="O29" i="3"/>
  <c r="L32" i="3"/>
  <c r="I17" i="3"/>
  <c r="L17" i="3"/>
  <c r="I22" i="3"/>
  <c r="L10" i="3"/>
</calcChain>
</file>

<file path=xl/comments1.xml><?xml version="1.0" encoding="utf-8"?>
<comments xmlns="http://schemas.openxmlformats.org/spreadsheetml/2006/main">
  <authors>
    <author/>
  </authors>
  <commentList>
    <comment ref="C10" authorId="0" shapeId="0">
      <text>
        <r>
          <rPr>
            <sz val="11"/>
            <color theme="1"/>
            <rFont val="Calibri"/>
            <scheme val="minor"/>
          </rPr>
          <t>======
ID#AAAB5qMApU0
Karen Nyondo    (2026-05-05 16:06:29)
Remove this bowl, use cup instead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aTucq+BLFRRV/5YE/c9h0X+56w=="/>
    </ext>
  </extLst>
</comments>
</file>

<file path=xl/comments2.xml><?xml version="1.0" encoding="utf-8"?>
<comments xmlns="http://schemas.openxmlformats.org/spreadsheetml/2006/main">
  <authors>
    <author/>
  </authors>
  <commentList>
    <comment ref="P9" authorId="0" shapeId="0">
      <text>
        <r>
          <rPr>
            <sz val="11"/>
            <color theme="1"/>
            <rFont val="Calibri"/>
            <scheme val="minor"/>
          </rPr>
          <t>======
ID#AAAB7B0HgYA
Calvin Dauner    (2026-05-22 10:37:54)
according to lunkay no one wanted to buy the eggplant so she ended up selling them at 2 leones each to not let them spoil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bQpfxqVKj60mvb9NuNKgF0+RmWw=="/>
    </ext>
  </extLst>
</comments>
</file>

<file path=xl/comments3.xml><?xml version="1.0" encoding="utf-8"?>
<comments xmlns="http://schemas.openxmlformats.org/spreadsheetml/2006/main">
  <authors>
    <author/>
  </authors>
  <commentList>
    <comment ref="D6" authorId="0" shapeId="0">
      <text>
        <r>
          <rPr>
            <sz val="11"/>
            <color theme="1"/>
            <rFont val="Calibri"/>
            <scheme val="minor"/>
          </rPr>
          <t>======
ID#AAAB5qMApUw
Karen Nyondo    (2026-05-05 16:06:29)
since we have the nle/kg from the market price sheet. We can just calculate the revenue based on that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C25bcZkgEN+Is1Y3bU6JHtJE/Yg=="/>
    </ext>
  </extLst>
</comments>
</file>

<file path=xl/sharedStrings.xml><?xml version="1.0" encoding="utf-8"?>
<sst xmlns="http://schemas.openxmlformats.org/spreadsheetml/2006/main" count="511" uniqueCount="118">
  <si>
    <t>MARKET SURVEY - Greenhouse Project</t>
  </si>
  <si>
    <t>Pieces per kg is for vegetables that are not being sold as a single item e.g. cups and display. The purpose of pieces per kg is to standardize price</t>
  </si>
  <si>
    <t>Market</t>
  </si>
  <si>
    <t>Vegetable</t>
  </si>
  <si>
    <t>Size (Small/Medium/Large)</t>
  </si>
  <si>
    <t>Unit Observed</t>
  </si>
  <si>
    <t>Count per Unit (# of pieces)</t>
  </si>
  <si>
    <t>Price per Unit</t>
  </si>
  <si>
    <t>Price for each</t>
  </si>
  <si>
    <t>Pieces per kg</t>
  </si>
  <si>
    <t>NLE per kg</t>
  </si>
  <si>
    <t>Notes</t>
  </si>
  <si>
    <t>Surveyed by</t>
  </si>
  <si>
    <t>TormaBum</t>
  </si>
  <si>
    <t>Tomato</t>
  </si>
  <si>
    <t>small</t>
  </si>
  <si>
    <t>display</t>
  </si>
  <si>
    <t>Ronald</t>
  </si>
  <si>
    <t>medium</t>
  </si>
  <si>
    <t>Okra</t>
  </si>
  <si>
    <t>-</t>
  </si>
  <si>
    <t>bag</t>
  </si>
  <si>
    <t>any</t>
  </si>
  <si>
    <t>Local Hot Pepper</t>
  </si>
  <si>
    <t>cup</t>
  </si>
  <si>
    <t>Habanero Pepper</t>
  </si>
  <si>
    <t>bowl</t>
  </si>
  <si>
    <t>Carrot</t>
  </si>
  <si>
    <t>Cucumber</t>
  </si>
  <si>
    <t>Garden Eggs</t>
  </si>
  <si>
    <t>Eggplant</t>
  </si>
  <si>
    <t>Prices for eggplants and gardens need to be revisited</t>
  </si>
  <si>
    <t>Krainkrain</t>
  </si>
  <si>
    <t>tie</t>
  </si>
  <si>
    <t>Bo</t>
  </si>
  <si>
    <t>crate</t>
  </si>
  <si>
    <t>Muhammad</t>
  </si>
  <si>
    <t>Cabbage</t>
  </si>
  <si>
    <t>single</t>
  </si>
  <si>
    <t>Waterloo</t>
  </si>
  <si>
    <t>sheba rubbers</t>
  </si>
  <si>
    <t>Ousman</t>
  </si>
  <si>
    <t>Green Pepper</t>
  </si>
  <si>
    <t>big</t>
  </si>
  <si>
    <t>Torma meeting 25 May 2026</t>
  </si>
  <si>
    <t xml:space="preserve">1 kg of local hot pepper </t>
  </si>
  <si>
    <t>Torma quantity</t>
  </si>
  <si>
    <t>8 cups</t>
  </si>
  <si>
    <t xml:space="preserve">1.5 kg of garden egg </t>
  </si>
  <si>
    <t>5 leones sold for</t>
  </si>
  <si>
    <t>e</t>
  </si>
  <si>
    <t>Date</t>
  </si>
  <si>
    <t>Quantity Delivered (kg)</t>
  </si>
  <si>
    <t>Quantity Sold (kg)</t>
  </si>
  <si>
    <t>kg Spoiled/Loss</t>
  </si>
  <si>
    <t>Loss %</t>
  </si>
  <si>
    <t>Balance</t>
  </si>
  <si>
    <t xml:space="preserve">Units Sold in </t>
  </si>
  <si>
    <t>Units Sold</t>
  </si>
  <si>
    <t>Price per Unit (NLE)</t>
  </si>
  <si>
    <t>Total Revenue (NLE)</t>
  </si>
  <si>
    <t>Transport Cost (NLE)</t>
  </si>
  <si>
    <t>Net Revenue (NLE)</t>
  </si>
  <si>
    <t>NLE per Kg earned</t>
  </si>
  <si>
    <t>Habanero Hot Pepper</t>
  </si>
  <si>
    <t>places</t>
  </si>
  <si>
    <t>cups</t>
  </si>
  <si>
    <t>find out what happened to the balance, and is that all that was made?</t>
  </si>
  <si>
    <t xml:space="preserve">places </t>
  </si>
  <si>
    <t>balace used for multiplication</t>
  </si>
  <si>
    <t>Spoilt in stores</t>
  </si>
  <si>
    <t>1 dozen and 7 at 10</t>
  </si>
  <si>
    <t>22/05/2026</t>
  </si>
  <si>
    <t>PROFITABILITY TRACKER - Market Scenario Comparison</t>
  </si>
  <si>
    <r>
      <rPr>
        <b/>
        <sz val="11"/>
        <color rgb="FF00FFFF"/>
        <rFont val="Calibri"/>
      </rPr>
      <t>In blue is the actual amount we made from sales</t>
    </r>
    <r>
      <rPr>
        <b/>
        <sz val="11"/>
        <color theme="1"/>
        <rFont val="Calibri"/>
      </rPr>
      <t xml:space="preserve">, </t>
    </r>
    <r>
      <rPr>
        <b/>
        <sz val="11"/>
        <color theme="0"/>
        <rFont val="Calibri"/>
      </rPr>
      <t>the white represents the amounts we would have made if we sold in that market</t>
    </r>
  </si>
  <si>
    <t>Vegetable Info</t>
  </si>
  <si>
    <t>Tormabum</t>
  </si>
  <si>
    <t>Summary</t>
  </si>
  <si>
    <t>Revenue (NLE)</t>
  </si>
  <si>
    <t>Transport (NLE)</t>
  </si>
  <si>
    <t>Net (NLE)</t>
  </si>
  <si>
    <t>Tormabum Net/kg</t>
  </si>
  <si>
    <t>Bo Net/kg</t>
  </si>
  <si>
    <t>Waterloo Net/kg</t>
  </si>
  <si>
    <t>Best Market</t>
  </si>
  <si>
    <t>orange house, no money recorded</t>
  </si>
  <si>
    <t>Each trip to BO is approximately 70 leones</t>
  </si>
  <si>
    <t>Each trip to Waterloo is approximately 160 leones</t>
  </si>
  <si>
    <t>TOTAL</t>
  </si>
  <si>
    <t>HOW THE WORKBOOK WORKS - Greenhouse Project</t>
  </si>
  <si>
    <t>SHEET 1 - Market Price Survey</t>
  </si>
  <si>
    <t>Purpose:</t>
  </si>
  <si>
    <t>Record prices across markets</t>
  </si>
  <si>
    <t>Key Column:</t>
  </si>
  <si>
    <t>"NLE per kg" - this is how you compare cross markets</t>
  </si>
  <si>
    <t>How to get NLE/kg</t>
  </si>
  <si>
    <t>Weigh a sample of the vegetable then enter kg per unit</t>
  </si>
  <si>
    <t>Tip:</t>
  </si>
  <si>
    <t>Record small and large sizes separately</t>
  </si>
  <si>
    <t>SHEET 2 - Daily Sales Record</t>
  </si>
  <si>
    <t>Log in sales made by FOOP</t>
  </si>
  <si>
    <t>Key column:</t>
  </si>
  <si>
    <t>WEIGHING REFERENCE - Greenhouse Project</t>
  </si>
  <si>
    <t>To standardize units, weigh a sample of each vegetable to determine how much adds up to 1kg for easy comparisn of prices</t>
  </si>
  <si>
    <r>
      <rPr>
        <i/>
        <sz val="11"/>
        <color theme="1"/>
        <rFont val="Calibri"/>
      </rPr>
      <t xml:space="preserve">HOW TO MEASURE: Pick 5 vegetables of the same size </t>
    </r>
    <r>
      <rPr>
        <sz val="11"/>
        <color theme="1"/>
        <rFont val="Calibri"/>
      </rPr>
      <t>→</t>
    </r>
    <r>
      <rPr>
        <i/>
        <sz val="11"/>
        <color theme="1"/>
        <rFont val="Calibri"/>
      </rPr>
      <t xml:space="preserve">weigh them together (in kg) </t>
    </r>
    <r>
      <rPr>
        <sz val="11"/>
        <color theme="1"/>
        <rFont val="Calibri"/>
      </rPr>
      <t>→</t>
    </r>
    <r>
      <rPr>
        <i/>
        <sz val="11"/>
        <color theme="1"/>
        <rFont val="Calibri"/>
      </rPr>
      <t>divide 5 by that weight = pieces per kg.</t>
    </r>
    <r>
      <rPr>
        <sz val="11"/>
        <color theme="1"/>
        <rFont val="Calibri"/>
      </rPr>
      <t>→</t>
    </r>
    <r>
      <rPr>
        <i/>
        <sz val="11"/>
        <color theme="1"/>
        <rFont val="Calibri"/>
      </rPr>
      <t xml:space="preserve"> e.g. 5 small eggplants weigh 0.6kg, therefore 5/0.6 = 8.3 pieces/kg.</t>
    </r>
  </si>
  <si>
    <t>Section 1 - Vegetables sold by piece/display (eggplants, okra, tomato, cucumber, cabbage, garden eggs)</t>
  </si>
  <si>
    <t>Sample count (# weighed)</t>
  </si>
  <si>
    <t>Total weight of sample (kg)</t>
  </si>
  <si>
    <t>kg per piece</t>
  </si>
  <si>
    <t>Date measured</t>
  </si>
  <si>
    <t xml:space="preserve">Carrot </t>
  </si>
  <si>
    <t>Section 2 - Vegetables sold by cup/tie (krainkrain, hot pepper)</t>
  </si>
  <si>
    <t>Market Unit (cup/tie/bundle)</t>
  </si>
  <si>
    <t>Units per kg</t>
  </si>
  <si>
    <t>Date Measured</t>
  </si>
  <si>
    <t>KrainKrain</t>
  </si>
  <si>
    <t>Habanerro Pepper</t>
  </si>
  <si>
    <t>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</si>
</sst>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"/>
    <numFmt numFmtId="165" formatCode="0.0000000000000"/>
    <numFmt numFmtId="166" formatCode="0.000000"/>
    <numFmt numFmtId="167" formatCode="m/d/yyyy"/>
    <numFmt numFmtId="168" formatCode="mm/dd/yyyy"/>
    <numFmt numFmtId="169" formatCode="0.0000"/>
    <numFmt numFmtId="170" formatCode="#,##0.000"/>
  </numFmts>
  <fonts count="20">
    <font>
      <sz val="11"/>
      <color theme="1"/>
      <name val="Calibri"/>
      <scheme val="minor"/>
    </font>
    <font>
      <b/>
      <sz val="12"/>
      <color theme="0"/>
      <name val="Calibri"/>
    </font>
    <font>
      <sz val="11"/>
      <name val="Calibri"/>
    </font>
    <font>
      <sz val="13"/>
      <color theme="1"/>
      <name val="Calibri"/>
    </font>
    <font>
      <i/>
      <sz val="11"/>
      <color rgb="FFAEABAB"/>
      <name val="Calibri"/>
    </font>
    <font>
      <sz val="11"/>
      <color theme="0"/>
      <name val="Calibri"/>
    </font>
    <font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rgb="FFFFFFFF"/>
      <name val="Calibri"/>
    </font>
    <font>
      <i/>
      <sz val="11"/>
      <color rgb="FF7F7F7F"/>
      <name val="Calibri"/>
    </font>
    <font>
      <b/>
      <sz val="13"/>
      <color theme="0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b/>
      <sz val="11"/>
      <color rgb="FFCC0000"/>
      <name val="Calibri"/>
    </font>
    <font>
      <b/>
      <sz val="11"/>
      <color rgb="FF00FFFF"/>
      <name val="Calibri"/>
    </font>
    <font>
      <b/>
      <sz val="11"/>
      <color theme="0"/>
      <name val="Calibri"/>
    </font>
    <font>
      <b/>
      <sz val="11"/>
      <color rgb="FF000000"/>
      <name val="Calibri"/>
    </font>
    <font>
      <sz val="11"/>
      <color rgb="FF000000"/>
      <name val="Calibri"/>
    </font>
    <font>
      <i/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6600"/>
        <bgColor rgb="FF0066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DD7E6B"/>
        <bgColor rgb="FFDD7E6B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3" fillId="0" borderId="0" xfId="0" applyFont="1" applyAlignment="1">
      <alignment vertical="center"/>
    </xf>
    <xf numFmtId="0" fontId="5" fillId="2" borderId="4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7" fillId="0" borderId="4" xfId="0" applyFont="1" applyBorder="1"/>
    <xf numFmtId="2" fontId="7" fillId="0" borderId="4" xfId="0" applyNumberFormat="1" applyFont="1" applyBorder="1"/>
    <xf numFmtId="164" fontId="7" fillId="0" borderId="4" xfId="0" applyNumberFormat="1" applyFont="1" applyBorder="1"/>
    <xf numFmtId="0" fontId="7" fillId="0" borderId="4" xfId="0" applyFont="1" applyBorder="1" applyAlignment="1"/>
    <xf numFmtId="0" fontId="7" fillId="3" borderId="4" xfId="0" applyFont="1" applyFill="1" applyBorder="1"/>
    <xf numFmtId="2" fontId="7" fillId="3" borderId="4" xfId="0" applyNumberFormat="1" applyFont="1" applyFill="1" applyBorder="1"/>
    <xf numFmtId="0" fontId="8" fillId="0" borderId="0" xfId="0" applyFont="1" applyAlignment="1"/>
    <xf numFmtId="165" fontId="7" fillId="0" borderId="4" xfId="0" applyNumberFormat="1" applyFont="1" applyBorder="1"/>
    <xf numFmtId="2" fontId="7" fillId="0" borderId="4" xfId="0" applyNumberFormat="1" applyFont="1" applyBorder="1" applyAlignment="1"/>
    <xf numFmtId="4" fontId="7" fillId="0" borderId="4" xfId="0" applyNumberFormat="1" applyFont="1" applyBorder="1"/>
    <xf numFmtId="14" fontId="7" fillId="0" borderId="4" xfId="0" applyNumberFormat="1" applyFont="1" applyBorder="1"/>
    <xf numFmtId="9" fontId="7" fillId="0" borderId="4" xfId="0" applyNumberFormat="1" applyFont="1" applyBorder="1"/>
    <xf numFmtId="14" fontId="7" fillId="0" borderId="4" xfId="0" applyNumberFormat="1" applyFont="1" applyBorder="1" applyAlignment="1"/>
    <xf numFmtId="9" fontId="7" fillId="0" borderId="4" xfId="0" applyNumberFormat="1" applyFont="1" applyBorder="1" applyAlignment="1"/>
    <xf numFmtId="166" fontId="7" fillId="0" borderId="4" xfId="0" applyNumberFormat="1" applyFont="1" applyBorder="1"/>
    <xf numFmtId="0" fontId="10" fillId="0" borderId="4" xfId="0" applyFont="1" applyBorder="1"/>
    <xf numFmtId="167" fontId="7" fillId="0" borderId="4" xfId="0" applyNumberFormat="1" applyFont="1" applyBorder="1" applyAlignment="1"/>
    <xf numFmtId="168" fontId="7" fillId="0" borderId="4" xfId="0" applyNumberFormat="1" applyFont="1" applyBorder="1" applyAlignment="1"/>
    <xf numFmtId="0" fontId="7" fillId="0" borderId="0" xfId="0" applyFont="1"/>
    <xf numFmtId="0" fontId="5" fillId="5" borderId="4" xfId="0" applyFont="1" applyFill="1" applyBorder="1" applyAlignment="1">
      <alignment wrapText="1"/>
    </xf>
    <xf numFmtId="0" fontId="5" fillId="6" borderId="4" xfId="0" applyFont="1" applyFill="1" applyBorder="1" applyAlignment="1">
      <alignment wrapText="1"/>
    </xf>
    <xf numFmtId="0" fontId="5" fillId="7" borderId="4" xfId="0" applyFont="1" applyFill="1" applyBorder="1" applyAlignment="1">
      <alignment wrapText="1"/>
    </xf>
    <xf numFmtId="4" fontId="7" fillId="5" borderId="4" xfId="0" applyNumberFormat="1" applyFont="1" applyFill="1" applyBorder="1"/>
    <xf numFmtId="4" fontId="7" fillId="5" borderId="4" xfId="0" applyNumberFormat="1" applyFont="1" applyFill="1" applyBorder="1" applyAlignment="1"/>
    <xf numFmtId="4" fontId="7" fillId="6" borderId="4" xfId="0" applyNumberFormat="1" applyFont="1" applyFill="1" applyBorder="1" applyAlignment="1"/>
    <xf numFmtId="4" fontId="7" fillId="6" borderId="4" xfId="0" applyNumberFormat="1" applyFont="1" applyFill="1" applyBorder="1"/>
    <xf numFmtId="0" fontId="7" fillId="7" borderId="4" xfId="0" applyFont="1" applyFill="1" applyBorder="1"/>
    <xf numFmtId="4" fontId="5" fillId="8" borderId="4" xfId="0" applyNumberFormat="1" applyFont="1" applyFill="1" applyBorder="1"/>
    <xf numFmtId="4" fontId="14" fillId="6" borderId="4" xfId="0" applyNumberFormat="1" applyFont="1" applyFill="1" applyBorder="1" applyAlignment="1"/>
    <xf numFmtId="4" fontId="15" fillId="8" borderId="4" xfId="0" applyNumberFormat="1" applyFont="1" applyFill="1" applyBorder="1"/>
    <xf numFmtId="2" fontId="7" fillId="7" borderId="4" xfId="0" applyNumberFormat="1" applyFont="1" applyFill="1" applyBorder="1"/>
    <xf numFmtId="4" fontId="7" fillId="7" borderId="4" xfId="0" applyNumberFormat="1" applyFont="1" applyFill="1" applyBorder="1" applyAlignment="1"/>
    <xf numFmtId="2" fontId="5" fillId="8" borderId="4" xfId="0" applyNumberFormat="1" applyFont="1" applyFill="1" applyBorder="1"/>
    <xf numFmtId="4" fontId="14" fillId="9" borderId="4" xfId="0" applyNumberFormat="1" applyFont="1" applyFill="1" applyBorder="1" applyAlignment="1"/>
    <xf numFmtId="4" fontId="12" fillId="9" borderId="4" xfId="0" applyNumberFormat="1" applyFont="1" applyFill="1" applyBorder="1"/>
    <xf numFmtId="4" fontId="7" fillId="9" borderId="4" xfId="0" applyNumberFormat="1" applyFont="1" applyFill="1" applyBorder="1" applyAlignment="1"/>
    <xf numFmtId="2" fontId="7" fillId="9" borderId="4" xfId="0" applyNumberFormat="1" applyFont="1" applyFill="1" applyBorder="1"/>
    <xf numFmtId="0" fontId="7" fillId="9" borderId="4" xfId="0" applyFont="1" applyFill="1" applyBorder="1"/>
    <xf numFmtId="2" fontId="12" fillId="9" borderId="4" xfId="0" applyNumberFormat="1" applyFont="1" applyFill="1" applyBorder="1"/>
    <xf numFmtId="4" fontId="14" fillId="5" borderId="4" xfId="0" applyNumberFormat="1" applyFont="1" applyFill="1" applyBorder="1" applyAlignment="1"/>
    <xf numFmtId="4" fontId="6" fillId="8" borderId="4" xfId="0" applyNumberFormat="1" applyFont="1" applyFill="1" applyBorder="1"/>
    <xf numFmtId="14" fontId="7" fillId="3" borderId="4" xfId="0" applyNumberFormat="1" applyFont="1" applyFill="1" applyBorder="1" applyAlignment="1"/>
    <xf numFmtId="4" fontId="16" fillId="9" borderId="4" xfId="0" applyNumberFormat="1" applyFont="1" applyFill="1" applyBorder="1" applyAlignment="1"/>
    <xf numFmtId="4" fontId="17" fillId="9" borderId="4" xfId="0" applyNumberFormat="1" applyFont="1" applyFill="1" applyBorder="1"/>
    <xf numFmtId="4" fontId="18" fillId="9" borderId="4" xfId="0" applyNumberFormat="1" applyFont="1" applyFill="1" applyBorder="1" applyAlignment="1"/>
    <xf numFmtId="2" fontId="5" fillId="9" borderId="4" xfId="0" applyNumberFormat="1" applyFont="1" applyFill="1" applyBorder="1"/>
    <xf numFmtId="0" fontId="5" fillId="9" borderId="4" xfId="0" applyFont="1" applyFill="1" applyBorder="1"/>
    <xf numFmtId="4" fontId="7" fillId="9" borderId="4" xfId="0" applyNumberFormat="1" applyFont="1" applyFill="1" applyBorder="1"/>
    <xf numFmtId="4" fontId="14" fillId="9" borderId="4" xfId="0" applyNumberFormat="1" applyFont="1" applyFill="1" applyBorder="1"/>
    <xf numFmtId="4" fontId="14" fillId="5" borderId="4" xfId="0" applyNumberFormat="1" applyFont="1" applyFill="1" applyBorder="1"/>
    <xf numFmtId="0" fontId="4" fillId="0" borderId="0" xfId="0" applyFont="1"/>
    <xf numFmtId="0" fontId="19" fillId="0" borderId="0" xfId="0" applyFont="1" applyAlignment="1">
      <alignment wrapText="1"/>
    </xf>
    <xf numFmtId="0" fontId="7" fillId="0" borderId="0" xfId="0" applyFont="1" applyAlignment="1">
      <alignment wrapText="1"/>
    </xf>
    <xf numFmtId="14" fontId="7" fillId="0" borderId="0" xfId="0" applyNumberFormat="1" applyFont="1"/>
    <xf numFmtId="9" fontId="7" fillId="0" borderId="0" xfId="0" applyNumberFormat="1" applyFont="1"/>
    <xf numFmtId="14" fontId="7" fillId="0" borderId="0" xfId="0" applyNumberFormat="1" applyFont="1" applyAlignment="1">
      <alignment horizontal="left" wrapText="1"/>
    </xf>
    <xf numFmtId="167" fontId="7" fillId="0" borderId="4" xfId="0" applyNumberFormat="1" applyFont="1" applyBorder="1" applyAlignment="1"/>
    <xf numFmtId="167" fontId="7" fillId="0" borderId="4" xfId="0" applyNumberFormat="1" applyFont="1" applyBorder="1"/>
    <xf numFmtId="169" fontId="7" fillId="0" borderId="4" xfId="0" applyNumberFormat="1" applyFont="1" applyBorder="1"/>
    <xf numFmtId="0" fontId="8" fillId="0" borderId="0" xfId="0" applyFont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right"/>
    </xf>
    <xf numFmtId="170" fontId="7" fillId="0" borderId="4" xfId="0" applyNumberFormat="1" applyFont="1" applyBorder="1" applyAlignment="1">
      <alignment horizontal="right"/>
    </xf>
    <xf numFmtId="14" fontId="19" fillId="0" borderId="4" xfId="0" applyNumberFormat="1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4" fontId="7" fillId="0" borderId="4" xfId="0" applyNumberFormat="1" applyFont="1" applyBorder="1" applyAlignment="1">
      <alignment horizontal="right"/>
    </xf>
    <xf numFmtId="14" fontId="5" fillId="2" borderId="4" xfId="0" applyNumberFormat="1" applyFont="1" applyFill="1" applyBorder="1" applyAlignment="1">
      <alignment horizontal="left" wrapText="1"/>
    </xf>
    <xf numFmtId="14" fontId="7" fillId="3" borderId="4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/>
    <xf numFmtId="0" fontId="11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2" fillId="0" borderId="1" xfId="0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4" borderId="8" xfId="0" applyFont="1" applyFill="1" applyBorder="1" applyAlignment="1">
      <alignment horizontal="left"/>
    </xf>
    <xf numFmtId="0" fontId="0" fillId="0" borderId="0" xfId="0" applyFont="1" applyAlignment="1"/>
    <xf numFmtId="0" fontId="5" fillId="9" borderId="1" xfId="0" applyFont="1" applyFill="1" applyBorder="1" applyAlignment="1"/>
    <xf numFmtId="0" fontId="11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14" fontId="19" fillId="0" borderId="0" xfId="0" applyNumberFormat="1" applyFont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wrapText="1"/>
    </xf>
    <xf numFmtId="0" fontId="19" fillId="11" borderId="1" xfId="0" applyFont="1" applyFill="1" applyBorder="1" applyAlignment="1">
      <alignment horizontal="left" wrapText="1"/>
    </xf>
    <xf numFmtId="14" fontId="19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3"/>
  <sheetViews>
    <sheetView workbookViewId="0">
      <pane ySplit="4" topLeftCell="A5" activePane="bottomLeft" state="frozen"/>
      <selection pane="bottomLeft" activeCell="E10" sqref="E10"/>
    </sheetView>
  </sheetViews>
  <sheetFormatPr defaultColWidth="14.42578125" defaultRowHeight="15" customHeight="1"/>
  <cols>
    <col min="1" max="1" width="13.140625" customWidth="1"/>
    <col min="2" max="2" width="17.7109375" customWidth="1"/>
    <col min="3" max="3" width="22.5703125" customWidth="1"/>
    <col min="4" max="4" width="10.85546875" customWidth="1"/>
    <col min="5" max="6" width="8.7109375" customWidth="1"/>
    <col min="7" max="7" width="12.5703125" customWidth="1"/>
    <col min="8" max="10" width="8.7109375" customWidth="1"/>
    <col min="11" max="11" width="13.7109375" customWidth="1"/>
    <col min="12" max="26" width="8.7109375" customWidth="1"/>
  </cols>
  <sheetData>
    <row r="1" spans="1:26" ht="30" customHeight="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75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4"/>
    </row>
    <row r="3" spans="1:26" ht="42" customHeight="1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/>
    </row>
    <row r="4" spans="1:26">
      <c r="A4" s="4" t="s">
        <v>13</v>
      </c>
      <c r="B4" s="4" t="s">
        <v>14</v>
      </c>
      <c r="C4" s="4" t="s">
        <v>15</v>
      </c>
      <c r="D4" s="4" t="s">
        <v>16</v>
      </c>
      <c r="E4" s="4">
        <v>10</v>
      </c>
      <c r="F4" s="5">
        <v>10</v>
      </c>
      <c r="G4" s="5">
        <f t="shared" ref="G4:G51" si="0">F4/E4</f>
        <v>1</v>
      </c>
      <c r="H4" s="6">
        <f>'Weighing Reference'!E6</f>
        <v>13.574660633484163</v>
      </c>
      <c r="I4" s="4">
        <f t="shared" ref="I4:I5" si="1">H4*G4</f>
        <v>13.574660633484163</v>
      </c>
      <c r="J4" s="4"/>
      <c r="K4" s="7" t="s">
        <v>17</v>
      </c>
      <c r="L4" s="4"/>
    </row>
    <row r="5" spans="1:26">
      <c r="A5" s="4" t="s">
        <v>13</v>
      </c>
      <c r="B5" s="4" t="s">
        <v>14</v>
      </c>
      <c r="C5" s="4" t="s">
        <v>18</v>
      </c>
      <c r="D5" s="4" t="s">
        <v>16</v>
      </c>
      <c r="E5" s="4">
        <v>12</v>
      </c>
      <c r="F5" s="5">
        <v>20</v>
      </c>
      <c r="G5" s="5">
        <f t="shared" si="0"/>
        <v>1.6666666666666667</v>
      </c>
      <c r="H5" s="4" t="e">
        <f>'Weighing Reference'!E7</f>
        <v>#DIV/0!</v>
      </c>
      <c r="I5" s="4" t="e">
        <f t="shared" si="1"/>
        <v>#DIV/0!</v>
      </c>
      <c r="J5" s="4"/>
      <c r="K5" s="7" t="s">
        <v>17</v>
      </c>
      <c r="L5" s="4"/>
    </row>
    <row r="6" spans="1:26">
      <c r="A6" s="4" t="s">
        <v>13</v>
      </c>
      <c r="B6" s="4" t="s">
        <v>19</v>
      </c>
      <c r="C6" s="4" t="s">
        <v>20</v>
      </c>
      <c r="D6" s="4" t="s">
        <v>21</v>
      </c>
      <c r="E6" s="4">
        <v>1</v>
      </c>
      <c r="F6" s="5">
        <v>875</v>
      </c>
      <c r="G6" s="5">
        <f t="shared" si="0"/>
        <v>875</v>
      </c>
      <c r="H6" s="7" t="s">
        <v>20</v>
      </c>
      <c r="I6" s="7" t="s">
        <v>20</v>
      </c>
      <c r="J6" s="4"/>
      <c r="K6" s="7" t="s">
        <v>17</v>
      </c>
      <c r="L6" s="4"/>
    </row>
    <row r="7" spans="1:26">
      <c r="A7" s="4" t="s">
        <v>13</v>
      </c>
      <c r="B7" s="4" t="s">
        <v>19</v>
      </c>
      <c r="C7" s="4" t="s">
        <v>22</v>
      </c>
      <c r="D7" s="4" t="s">
        <v>16</v>
      </c>
      <c r="E7" s="4">
        <v>12</v>
      </c>
      <c r="F7" s="5">
        <v>5</v>
      </c>
      <c r="G7" s="5">
        <f t="shared" si="0"/>
        <v>0.41666666666666669</v>
      </c>
      <c r="H7" s="6">
        <f>'Weighing Reference'!E17</f>
        <v>63.492063492063494</v>
      </c>
      <c r="I7" s="4">
        <f>H7*G7</f>
        <v>26.455026455026456</v>
      </c>
      <c r="J7" s="4"/>
      <c r="K7" s="7" t="s">
        <v>17</v>
      </c>
      <c r="L7" s="4"/>
    </row>
    <row r="8" spans="1:26">
      <c r="A8" s="4" t="s">
        <v>13</v>
      </c>
      <c r="B8" s="4" t="s">
        <v>23</v>
      </c>
      <c r="C8" s="4" t="s">
        <v>20</v>
      </c>
      <c r="D8" s="4" t="s">
        <v>21</v>
      </c>
      <c r="E8" s="4">
        <v>1</v>
      </c>
      <c r="F8" s="5">
        <v>300</v>
      </c>
      <c r="G8" s="5">
        <f t="shared" si="0"/>
        <v>300</v>
      </c>
      <c r="H8" s="7" t="s">
        <v>20</v>
      </c>
      <c r="I8" s="7" t="s">
        <v>20</v>
      </c>
      <c r="J8" s="4"/>
      <c r="K8" s="7" t="s">
        <v>17</v>
      </c>
      <c r="L8" s="4"/>
    </row>
    <row r="9" spans="1:26">
      <c r="A9" s="4" t="s">
        <v>13</v>
      </c>
      <c r="B9" s="4" t="s">
        <v>23</v>
      </c>
      <c r="C9" s="4" t="s">
        <v>20</v>
      </c>
      <c r="D9" s="4" t="s">
        <v>24</v>
      </c>
      <c r="E9" s="4">
        <v>1</v>
      </c>
      <c r="F9" s="5">
        <v>5</v>
      </c>
      <c r="G9" s="5">
        <f t="shared" si="0"/>
        <v>5</v>
      </c>
      <c r="H9" s="6">
        <f>'Weighing Reference'!E26</f>
        <v>7.3529411764705879</v>
      </c>
      <c r="I9" s="4">
        <f>H9*G9</f>
        <v>36.764705882352942</v>
      </c>
      <c r="J9" s="4"/>
      <c r="K9" s="7" t="s">
        <v>17</v>
      </c>
      <c r="L9" s="4"/>
    </row>
    <row r="10" spans="1:26">
      <c r="A10" s="4" t="s">
        <v>13</v>
      </c>
      <c r="B10" s="4" t="s">
        <v>25</v>
      </c>
      <c r="C10" s="4" t="s">
        <v>20</v>
      </c>
      <c r="D10" s="4" t="s">
        <v>26</v>
      </c>
      <c r="E10" s="4">
        <v>1</v>
      </c>
      <c r="F10" s="5">
        <v>20</v>
      </c>
      <c r="G10" s="5">
        <f t="shared" si="0"/>
        <v>20</v>
      </c>
      <c r="H10" s="7" t="s">
        <v>20</v>
      </c>
      <c r="I10" s="7" t="s">
        <v>20</v>
      </c>
      <c r="J10" s="4"/>
      <c r="K10" s="7" t="s">
        <v>17</v>
      </c>
      <c r="L10" s="4"/>
    </row>
    <row r="11" spans="1:26">
      <c r="A11" s="4" t="s">
        <v>13</v>
      </c>
      <c r="B11" s="4" t="s">
        <v>25</v>
      </c>
      <c r="C11" s="4" t="s">
        <v>20</v>
      </c>
      <c r="D11" s="4" t="s">
        <v>24</v>
      </c>
      <c r="E11" s="8">
        <v>1</v>
      </c>
      <c r="F11" s="9">
        <v>5</v>
      </c>
      <c r="G11" s="9">
        <f t="shared" si="0"/>
        <v>5</v>
      </c>
      <c r="H11" s="6">
        <f>'Weighing Reference'!E28</f>
        <v>8.5470085470085468</v>
      </c>
      <c r="I11" s="4">
        <f t="shared" ref="I11:I12" si="2">H11*G11</f>
        <v>42.735042735042732</v>
      </c>
      <c r="J11" s="4"/>
      <c r="K11" s="7" t="s">
        <v>17</v>
      </c>
      <c r="L11" s="4"/>
    </row>
    <row r="12" spans="1:26">
      <c r="A12" s="4" t="s">
        <v>13</v>
      </c>
      <c r="B12" s="4" t="s">
        <v>27</v>
      </c>
      <c r="C12" s="4" t="s">
        <v>22</v>
      </c>
      <c r="D12" s="4" t="s">
        <v>16</v>
      </c>
      <c r="E12" s="4">
        <v>6</v>
      </c>
      <c r="F12" s="5">
        <v>20</v>
      </c>
      <c r="G12" s="5">
        <f t="shared" si="0"/>
        <v>3.3333333333333335</v>
      </c>
      <c r="H12" s="6">
        <f>'Weighing Reference'!E19</f>
        <v>8.1967213114754092</v>
      </c>
      <c r="I12" s="4">
        <f t="shared" si="2"/>
        <v>27.3224043715847</v>
      </c>
      <c r="J12" s="4"/>
      <c r="K12" s="7" t="s">
        <v>17</v>
      </c>
      <c r="L12" s="4"/>
    </row>
    <row r="13" spans="1:26">
      <c r="A13" s="4" t="s">
        <v>13</v>
      </c>
      <c r="B13" s="4" t="s">
        <v>28</v>
      </c>
      <c r="C13" s="4" t="s">
        <v>15</v>
      </c>
      <c r="D13" s="4" t="s">
        <v>16</v>
      </c>
      <c r="E13" s="4">
        <v>12</v>
      </c>
      <c r="F13" s="5">
        <v>10</v>
      </c>
      <c r="G13" s="5">
        <f t="shared" si="0"/>
        <v>0.83333333333333337</v>
      </c>
      <c r="H13" s="7" t="s">
        <v>20</v>
      </c>
      <c r="I13" s="7" t="s">
        <v>20</v>
      </c>
      <c r="J13" s="4"/>
      <c r="K13" s="7" t="s">
        <v>17</v>
      </c>
      <c r="L13" s="4"/>
    </row>
    <row r="14" spans="1:26">
      <c r="A14" s="4" t="s">
        <v>13</v>
      </c>
      <c r="B14" s="4" t="s">
        <v>28</v>
      </c>
      <c r="C14" s="4" t="s">
        <v>18</v>
      </c>
      <c r="D14" s="4" t="s">
        <v>16</v>
      </c>
      <c r="E14" s="4">
        <v>10</v>
      </c>
      <c r="F14" s="5">
        <v>10</v>
      </c>
      <c r="G14" s="5">
        <f t="shared" si="0"/>
        <v>1</v>
      </c>
      <c r="H14" s="6">
        <f>'Weighing Reference'!E16</f>
        <v>7.042253521126761</v>
      </c>
      <c r="I14" s="4">
        <f>H14*G14</f>
        <v>7.042253521126761</v>
      </c>
      <c r="J14" s="4"/>
      <c r="K14" s="7" t="s">
        <v>17</v>
      </c>
      <c r="L14" s="4"/>
    </row>
    <row r="15" spans="1:26">
      <c r="A15" s="4" t="s">
        <v>13</v>
      </c>
      <c r="B15" s="4" t="s">
        <v>29</v>
      </c>
      <c r="C15" s="4" t="s">
        <v>20</v>
      </c>
      <c r="D15" s="4" t="s">
        <v>21</v>
      </c>
      <c r="E15" s="4">
        <v>1</v>
      </c>
      <c r="F15" s="5">
        <v>250</v>
      </c>
      <c r="G15" s="5">
        <f t="shared" si="0"/>
        <v>250</v>
      </c>
      <c r="H15" s="7" t="s">
        <v>20</v>
      </c>
      <c r="I15" s="7" t="s">
        <v>20</v>
      </c>
      <c r="J15" s="4"/>
      <c r="K15" s="7" t="s">
        <v>17</v>
      </c>
      <c r="L15" s="4"/>
    </row>
    <row r="16" spans="1:26">
      <c r="A16" s="4" t="s">
        <v>13</v>
      </c>
      <c r="B16" s="7" t="s">
        <v>29</v>
      </c>
      <c r="C16" s="4" t="s">
        <v>22</v>
      </c>
      <c r="D16" s="4" t="s">
        <v>16</v>
      </c>
      <c r="E16" s="7">
        <v>18</v>
      </c>
      <c r="F16" s="5">
        <v>2</v>
      </c>
      <c r="G16" s="5">
        <f t="shared" si="0"/>
        <v>0.1111111111111111</v>
      </c>
      <c r="H16" s="6">
        <f>'Weighing Reference'!E13</f>
        <v>16.042780748663102</v>
      </c>
      <c r="I16" s="4">
        <f t="shared" ref="I16:I52" si="3">H16*G16</f>
        <v>1.7825311942959001</v>
      </c>
      <c r="J16" s="4"/>
      <c r="K16" s="7" t="s">
        <v>17</v>
      </c>
      <c r="L16" s="4"/>
    </row>
    <row r="17" spans="1:14">
      <c r="A17" s="4" t="s">
        <v>13</v>
      </c>
      <c r="B17" s="4" t="s">
        <v>30</v>
      </c>
      <c r="C17" s="4" t="s">
        <v>20</v>
      </c>
      <c r="D17" s="4" t="s">
        <v>21</v>
      </c>
      <c r="E17" s="4">
        <v>1</v>
      </c>
      <c r="F17" s="5">
        <v>300</v>
      </c>
      <c r="G17" s="5">
        <f t="shared" si="0"/>
        <v>300</v>
      </c>
      <c r="H17" s="4"/>
      <c r="I17" s="4">
        <f t="shared" si="3"/>
        <v>0</v>
      </c>
      <c r="J17" s="4"/>
      <c r="K17" s="7" t="s">
        <v>17</v>
      </c>
      <c r="L17" s="4"/>
    </row>
    <row r="18" spans="1:14">
      <c r="A18" s="4" t="s">
        <v>13</v>
      </c>
      <c r="B18" s="4" t="s">
        <v>30</v>
      </c>
      <c r="C18" s="4" t="s">
        <v>15</v>
      </c>
      <c r="D18" s="4" t="s">
        <v>16</v>
      </c>
      <c r="E18" s="7">
        <v>5</v>
      </c>
      <c r="F18" s="5">
        <v>2</v>
      </c>
      <c r="G18" s="5">
        <f t="shared" si="0"/>
        <v>0.4</v>
      </c>
      <c r="H18" s="4"/>
      <c r="I18" s="4">
        <f t="shared" si="3"/>
        <v>0</v>
      </c>
      <c r="J18" s="4"/>
      <c r="K18" s="7" t="s">
        <v>17</v>
      </c>
      <c r="L18" s="4"/>
    </row>
    <row r="19" spans="1:14">
      <c r="A19" s="4" t="s">
        <v>13</v>
      </c>
      <c r="B19" s="4" t="s">
        <v>30</v>
      </c>
      <c r="C19" s="4" t="s">
        <v>18</v>
      </c>
      <c r="D19" s="4" t="s">
        <v>16</v>
      </c>
      <c r="E19" s="4">
        <v>20</v>
      </c>
      <c r="F19" s="5">
        <v>5</v>
      </c>
      <c r="G19" s="5">
        <f t="shared" si="0"/>
        <v>0.25</v>
      </c>
      <c r="H19" s="5">
        <f>'Weighing Reference'!E10</f>
        <v>9.1954022988505741</v>
      </c>
      <c r="I19" s="4">
        <f t="shared" si="3"/>
        <v>2.2988505747126435</v>
      </c>
      <c r="J19" s="4"/>
      <c r="K19" s="7" t="s">
        <v>17</v>
      </c>
      <c r="L19" s="4"/>
      <c r="N19" s="10" t="s">
        <v>31</v>
      </c>
    </row>
    <row r="20" spans="1:14">
      <c r="A20" s="4" t="s">
        <v>13</v>
      </c>
      <c r="B20" s="4" t="s">
        <v>32</v>
      </c>
      <c r="C20" s="4" t="s">
        <v>20</v>
      </c>
      <c r="D20" s="4" t="s">
        <v>33</v>
      </c>
      <c r="E20" s="4">
        <v>1</v>
      </c>
      <c r="F20" s="9">
        <v>5</v>
      </c>
      <c r="G20" s="5">
        <f t="shared" si="0"/>
        <v>5</v>
      </c>
      <c r="H20" s="4">
        <f>'Weighing Reference'!E25</f>
        <v>2</v>
      </c>
      <c r="I20" s="4">
        <f t="shared" si="3"/>
        <v>10</v>
      </c>
      <c r="J20" s="4"/>
      <c r="K20" s="7" t="s">
        <v>17</v>
      </c>
      <c r="L20" s="4"/>
    </row>
    <row r="21" spans="1:14" ht="15.75" customHeight="1">
      <c r="A21" s="4" t="s">
        <v>34</v>
      </c>
      <c r="B21" s="4" t="s">
        <v>14</v>
      </c>
      <c r="C21" s="4" t="s">
        <v>20</v>
      </c>
      <c r="D21" s="4" t="s">
        <v>35</v>
      </c>
      <c r="E21" s="4">
        <v>1</v>
      </c>
      <c r="F21" s="5">
        <v>925</v>
      </c>
      <c r="G21" s="5">
        <f t="shared" si="0"/>
        <v>925</v>
      </c>
      <c r="H21" s="4"/>
      <c r="I21" s="4">
        <f t="shared" si="3"/>
        <v>0</v>
      </c>
      <c r="J21" s="4"/>
      <c r="K21" s="7" t="s">
        <v>36</v>
      </c>
      <c r="L21" s="4"/>
    </row>
    <row r="22" spans="1:14" ht="15.75" customHeight="1">
      <c r="A22" s="4" t="s">
        <v>34</v>
      </c>
      <c r="B22" s="4" t="s">
        <v>14</v>
      </c>
      <c r="C22" s="4" t="s">
        <v>15</v>
      </c>
      <c r="D22" s="4" t="s">
        <v>16</v>
      </c>
      <c r="E22" s="4">
        <v>6</v>
      </c>
      <c r="F22" s="5">
        <v>10</v>
      </c>
      <c r="G22" s="5">
        <f t="shared" si="0"/>
        <v>1.6666666666666667</v>
      </c>
      <c r="H22" s="6">
        <f>'Weighing Reference'!E6</f>
        <v>13.574660633484163</v>
      </c>
      <c r="I22" s="4">
        <f t="shared" si="3"/>
        <v>22.624434389140273</v>
      </c>
      <c r="J22" s="4"/>
      <c r="K22" s="7" t="s">
        <v>36</v>
      </c>
      <c r="L22" s="4"/>
    </row>
    <row r="23" spans="1:14" ht="15.75" customHeight="1">
      <c r="A23" s="4" t="s">
        <v>34</v>
      </c>
      <c r="B23" s="4" t="s">
        <v>14</v>
      </c>
      <c r="C23" s="4" t="s">
        <v>18</v>
      </c>
      <c r="D23" s="4" t="s">
        <v>16</v>
      </c>
      <c r="E23" s="4">
        <v>8</v>
      </c>
      <c r="F23" s="5">
        <v>20</v>
      </c>
      <c r="G23" s="5">
        <f t="shared" si="0"/>
        <v>2.5</v>
      </c>
      <c r="H23" s="4"/>
      <c r="I23" s="4">
        <f t="shared" si="3"/>
        <v>0</v>
      </c>
      <c r="J23" s="4"/>
      <c r="K23" s="7" t="s">
        <v>36</v>
      </c>
      <c r="L23" s="4"/>
    </row>
    <row r="24" spans="1:14" ht="15.75" customHeight="1">
      <c r="A24" s="4" t="s">
        <v>34</v>
      </c>
      <c r="B24" s="4" t="s">
        <v>19</v>
      </c>
      <c r="C24" s="4" t="s">
        <v>22</v>
      </c>
      <c r="D24" s="4" t="s">
        <v>16</v>
      </c>
      <c r="E24" s="4">
        <v>6</v>
      </c>
      <c r="F24" s="5">
        <v>5</v>
      </c>
      <c r="G24" s="5">
        <f t="shared" si="0"/>
        <v>0.83333333333333337</v>
      </c>
      <c r="H24" s="6">
        <f>'Weighing Reference'!E17</f>
        <v>63.492063492063494</v>
      </c>
      <c r="I24" s="4">
        <f t="shared" si="3"/>
        <v>52.910052910052912</v>
      </c>
      <c r="J24" s="4"/>
      <c r="K24" s="7" t="s">
        <v>36</v>
      </c>
      <c r="L24" s="4"/>
    </row>
    <row r="25" spans="1:14" ht="15.75" customHeight="1">
      <c r="A25" s="4" t="s">
        <v>34</v>
      </c>
      <c r="B25" s="4" t="s">
        <v>23</v>
      </c>
      <c r="C25" s="4" t="s">
        <v>20</v>
      </c>
      <c r="D25" s="4" t="s">
        <v>24</v>
      </c>
      <c r="E25" s="4">
        <v>1</v>
      </c>
      <c r="F25" s="5">
        <v>7</v>
      </c>
      <c r="G25" s="5">
        <f t="shared" si="0"/>
        <v>7</v>
      </c>
      <c r="H25" s="6">
        <f>'Weighing Reference'!E26</f>
        <v>7.3529411764705879</v>
      </c>
      <c r="I25" s="11">
        <f t="shared" si="3"/>
        <v>51.470588235294116</v>
      </c>
      <c r="J25" s="4"/>
      <c r="K25" s="7" t="s">
        <v>36</v>
      </c>
      <c r="L25" s="4"/>
    </row>
    <row r="26" spans="1:14" ht="15.75" customHeight="1">
      <c r="A26" s="4" t="s">
        <v>34</v>
      </c>
      <c r="B26" s="4" t="s">
        <v>25</v>
      </c>
      <c r="C26" s="4" t="s">
        <v>20</v>
      </c>
      <c r="D26" s="4" t="s">
        <v>16</v>
      </c>
      <c r="E26" s="4">
        <v>9</v>
      </c>
      <c r="F26" s="12">
        <v>5</v>
      </c>
      <c r="G26" s="5">
        <f t="shared" si="0"/>
        <v>0.55555555555555558</v>
      </c>
      <c r="H26" s="6">
        <f>'Weighing Reference'!E27</f>
        <v>184.21052631578948</v>
      </c>
      <c r="I26" s="4">
        <f t="shared" si="3"/>
        <v>102.33918128654972</v>
      </c>
      <c r="J26" s="4"/>
      <c r="K26" s="7" t="s">
        <v>36</v>
      </c>
      <c r="L26" s="4"/>
    </row>
    <row r="27" spans="1:14" ht="15.75" customHeight="1">
      <c r="A27" s="4" t="s">
        <v>34</v>
      </c>
      <c r="B27" s="4" t="s">
        <v>27</v>
      </c>
      <c r="C27" s="4" t="s">
        <v>20</v>
      </c>
      <c r="D27" s="4" t="s">
        <v>21</v>
      </c>
      <c r="E27" s="4">
        <v>1</v>
      </c>
      <c r="F27" s="5">
        <v>1100</v>
      </c>
      <c r="G27" s="5">
        <f t="shared" si="0"/>
        <v>1100</v>
      </c>
      <c r="H27" s="4"/>
      <c r="I27" s="4">
        <f t="shared" si="3"/>
        <v>0</v>
      </c>
      <c r="J27" s="4"/>
      <c r="K27" s="7" t="s">
        <v>36</v>
      </c>
      <c r="L27" s="4"/>
    </row>
    <row r="28" spans="1:14" ht="15.75" customHeight="1">
      <c r="A28" s="4" t="s">
        <v>34</v>
      </c>
      <c r="B28" s="4" t="s">
        <v>27</v>
      </c>
      <c r="C28" s="4" t="s">
        <v>22</v>
      </c>
      <c r="D28" s="4" t="s">
        <v>16</v>
      </c>
      <c r="E28" s="4">
        <v>8</v>
      </c>
      <c r="F28" s="5">
        <v>10</v>
      </c>
      <c r="G28" s="5">
        <f t="shared" si="0"/>
        <v>1.25</v>
      </c>
      <c r="H28" s="6">
        <f>'Weighing Reference'!E19</f>
        <v>8.1967213114754092</v>
      </c>
      <c r="I28" s="4">
        <f t="shared" si="3"/>
        <v>10.245901639344261</v>
      </c>
      <c r="J28" s="4"/>
      <c r="K28" s="7" t="s">
        <v>36</v>
      </c>
      <c r="L28" s="4"/>
    </row>
    <row r="29" spans="1:14" ht="15.75" customHeight="1">
      <c r="A29" s="4" t="s">
        <v>34</v>
      </c>
      <c r="B29" s="4" t="s">
        <v>28</v>
      </c>
      <c r="C29" s="4" t="s">
        <v>15</v>
      </c>
      <c r="D29" s="4" t="s">
        <v>16</v>
      </c>
      <c r="E29" s="4">
        <v>12</v>
      </c>
      <c r="F29" s="5">
        <v>10</v>
      </c>
      <c r="G29" s="5">
        <f t="shared" si="0"/>
        <v>0.83333333333333337</v>
      </c>
      <c r="H29" s="6">
        <f>'Weighing Reference'!E16</f>
        <v>7.042253521126761</v>
      </c>
      <c r="I29" s="4">
        <f t="shared" si="3"/>
        <v>5.8685446009389679</v>
      </c>
      <c r="J29" s="4"/>
      <c r="K29" s="7" t="s">
        <v>36</v>
      </c>
      <c r="L29" s="4"/>
    </row>
    <row r="30" spans="1:14" ht="15.75" customHeight="1">
      <c r="A30" s="4" t="s">
        <v>34</v>
      </c>
      <c r="B30" s="4" t="s">
        <v>29</v>
      </c>
      <c r="C30" s="4" t="s">
        <v>22</v>
      </c>
      <c r="D30" s="4" t="s">
        <v>16</v>
      </c>
      <c r="E30" s="4">
        <v>5</v>
      </c>
      <c r="F30" s="5">
        <v>4</v>
      </c>
      <c r="G30" s="5">
        <f t="shared" si="0"/>
        <v>0.8</v>
      </c>
      <c r="H30" s="6">
        <f>'Weighing Reference'!E13</f>
        <v>16.042780748663102</v>
      </c>
      <c r="I30" s="4">
        <f t="shared" si="3"/>
        <v>12.834224598930483</v>
      </c>
      <c r="J30" s="4"/>
      <c r="K30" s="7" t="s">
        <v>36</v>
      </c>
      <c r="L30" s="4"/>
    </row>
    <row r="31" spans="1:14" ht="15.75" customHeight="1">
      <c r="A31" s="4" t="s">
        <v>34</v>
      </c>
      <c r="B31" s="4" t="s">
        <v>37</v>
      </c>
      <c r="C31" s="4" t="s">
        <v>20</v>
      </c>
      <c r="D31" s="4" t="s">
        <v>21</v>
      </c>
      <c r="E31" s="4">
        <v>1</v>
      </c>
      <c r="F31" s="5">
        <v>875</v>
      </c>
      <c r="G31" s="5">
        <f t="shared" si="0"/>
        <v>875</v>
      </c>
      <c r="H31" s="4"/>
      <c r="I31" s="4">
        <f t="shared" si="3"/>
        <v>0</v>
      </c>
      <c r="J31" s="4"/>
      <c r="K31" s="7" t="s">
        <v>36</v>
      </c>
      <c r="L31" s="4"/>
    </row>
    <row r="32" spans="1:14" ht="15.75" customHeight="1">
      <c r="A32" s="4" t="s">
        <v>34</v>
      </c>
      <c r="B32" s="4" t="s">
        <v>37</v>
      </c>
      <c r="C32" s="4" t="s">
        <v>20</v>
      </c>
      <c r="D32" s="4" t="s">
        <v>38</v>
      </c>
      <c r="E32" s="4">
        <v>1</v>
      </c>
      <c r="F32" s="5">
        <v>35</v>
      </c>
      <c r="G32" s="5">
        <f t="shared" si="0"/>
        <v>35</v>
      </c>
      <c r="H32" s="4"/>
      <c r="I32" s="4">
        <f t="shared" si="3"/>
        <v>0</v>
      </c>
      <c r="J32" s="4"/>
      <c r="K32" s="7" t="s">
        <v>36</v>
      </c>
      <c r="L32" s="4"/>
    </row>
    <row r="33" spans="1:12" ht="15.75" customHeight="1">
      <c r="A33" s="4" t="s">
        <v>34</v>
      </c>
      <c r="B33" s="4" t="s">
        <v>30</v>
      </c>
      <c r="C33" s="4" t="s">
        <v>20</v>
      </c>
      <c r="D33" s="4" t="s">
        <v>21</v>
      </c>
      <c r="E33" s="4">
        <v>1</v>
      </c>
      <c r="F33" s="5">
        <v>700</v>
      </c>
      <c r="G33" s="5">
        <f t="shared" si="0"/>
        <v>700</v>
      </c>
      <c r="H33" s="4"/>
      <c r="I33" s="4">
        <f t="shared" si="3"/>
        <v>0</v>
      </c>
      <c r="J33" s="4"/>
      <c r="K33" s="7" t="s">
        <v>36</v>
      </c>
      <c r="L33" s="4"/>
    </row>
    <row r="34" spans="1:12" ht="15.75" customHeight="1">
      <c r="A34" s="4" t="s">
        <v>34</v>
      </c>
      <c r="B34" s="4" t="s">
        <v>30</v>
      </c>
      <c r="C34" s="4" t="s">
        <v>15</v>
      </c>
      <c r="D34" s="4" t="s">
        <v>16</v>
      </c>
      <c r="E34" s="4">
        <v>16</v>
      </c>
      <c r="F34" s="5">
        <v>2</v>
      </c>
      <c r="G34" s="5">
        <f t="shared" si="0"/>
        <v>0.125</v>
      </c>
      <c r="H34" s="4"/>
      <c r="I34" s="4">
        <f t="shared" si="3"/>
        <v>0</v>
      </c>
      <c r="J34" s="4"/>
      <c r="K34" s="7" t="s">
        <v>36</v>
      </c>
      <c r="L34" s="4"/>
    </row>
    <row r="35" spans="1:12" ht="15.75" customHeight="1">
      <c r="A35" s="4" t="s">
        <v>34</v>
      </c>
      <c r="B35" s="4" t="s">
        <v>30</v>
      </c>
      <c r="C35" s="4" t="s">
        <v>18</v>
      </c>
      <c r="D35" s="4" t="s">
        <v>16</v>
      </c>
      <c r="E35" s="4">
        <v>6</v>
      </c>
      <c r="F35" s="5">
        <v>4</v>
      </c>
      <c r="G35" s="5">
        <f t="shared" si="0"/>
        <v>0.66666666666666663</v>
      </c>
      <c r="H35" s="5">
        <f>'Weighing Reference'!E10</f>
        <v>9.1954022988505741</v>
      </c>
      <c r="I35" s="4">
        <f t="shared" si="3"/>
        <v>6.1302681992337158</v>
      </c>
      <c r="J35" s="4"/>
      <c r="K35" s="7" t="s">
        <v>36</v>
      </c>
      <c r="L35" s="4"/>
    </row>
    <row r="36" spans="1:12" ht="15.75" customHeight="1">
      <c r="A36" s="4" t="s">
        <v>34</v>
      </c>
      <c r="B36" s="4" t="s">
        <v>32</v>
      </c>
      <c r="C36" s="4" t="s">
        <v>20</v>
      </c>
      <c r="D36" s="4" t="s">
        <v>33</v>
      </c>
      <c r="E36" s="4">
        <v>1</v>
      </c>
      <c r="F36" s="5">
        <v>7</v>
      </c>
      <c r="G36" s="5">
        <f t="shared" si="0"/>
        <v>7</v>
      </c>
      <c r="H36" s="4">
        <f>'Weighing Reference'!E25</f>
        <v>2</v>
      </c>
      <c r="I36" s="4">
        <f t="shared" si="3"/>
        <v>14</v>
      </c>
      <c r="J36" s="4"/>
      <c r="K36" s="7" t="s">
        <v>36</v>
      </c>
      <c r="L36" s="4"/>
    </row>
    <row r="37" spans="1:12" ht="15.75" customHeight="1">
      <c r="A37" s="4" t="s">
        <v>39</v>
      </c>
      <c r="B37" s="4" t="s">
        <v>14</v>
      </c>
      <c r="C37" s="4" t="s">
        <v>20</v>
      </c>
      <c r="D37" s="4" t="s">
        <v>40</v>
      </c>
      <c r="E37" s="4">
        <v>1</v>
      </c>
      <c r="F37" s="5">
        <v>1800</v>
      </c>
      <c r="G37" s="5">
        <f t="shared" si="0"/>
        <v>1800</v>
      </c>
      <c r="H37" s="4"/>
      <c r="I37" s="4">
        <f t="shared" si="3"/>
        <v>0</v>
      </c>
      <c r="J37" s="4"/>
      <c r="K37" s="7" t="s">
        <v>41</v>
      </c>
      <c r="L37" s="4"/>
    </row>
    <row r="38" spans="1:12" ht="15.75" customHeight="1">
      <c r="A38" s="4" t="s">
        <v>39</v>
      </c>
      <c r="B38" s="4" t="s">
        <v>14</v>
      </c>
      <c r="C38" s="4" t="s">
        <v>15</v>
      </c>
      <c r="D38" s="8" t="s">
        <v>16</v>
      </c>
      <c r="E38" s="8">
        <v>12</v>
      </c>
      <c r="F38" s="9">
        <v>50</v>
      </c>
      <c r="G38" s="5">
        <f t="shared" si="0"/>
        <v>4.166666666666667</v>
      </c>
      <c r="H38" s="6">
        <f>'Weighing Reference'!E6</f>
        <v>13.574660633484163</v>
      </c>
      <c r="I38" s="4">
        <f t="shared" si="3"/>
        <v>56.561085972850684</v>
      </c>
      <c r="J38" s="4"/>
      <c r="K38" s="7" t="s">
        <v>41</v>
      </c>
      <c r="L38" s="4"/>
    </row>
    <row r="39" spans="1:12" ht="15.75" customHeight="1">
      <c r="A39" s="4" t="s">
        <v>39</v>
      </c>
      <c r="B39" s="4" t="s">
        <v>14</v>
      </c>
      <c r="C39" s="4" t="s">
        <v>18</v>
      </c>
      <c r="D39" s="4" t="s">
        <v>16</v>
      </c>
      <c r="E39" s="4">
        <v>3</v>
      </c>
      <c r="F39" s="5">
        <v>20</v>
      </c>
      <c r="G39" s="5">
        <f t="shared" si="0"/>
        <v>6.666666666666667</v>
      </c>
      <c r="H39" s="4"/>
      <c r="I39" s="4">
        <f t="shared" si="3"/>
        <v>0</v>
      </c>
      <c r="J39" s="4"/>
      <c r="K39" s="7" t="s">
        <v>41</v>
      </c>
      <c r="L39" s="4"/>
    </row>
    <row r="40" spans="1:12" ht="15.75" customHeight="1">
      <c r="A40" s="4" t="s">
        <v>39</v>
      </c>
      <c r="B40" s="4" t="s">
        <v>19</v>
      </c>
      <c r="C40" s="4" t="s">
        <v>20</v>
      </c>
      <c r="D40" s="4" t="s">
        <v>40</v>
      </c>
      <c r="E40" s="4">
        <v>1</v>
      </c>
      <c r="F40" s="5">
        <v>300</v>
      </c>
      <c r="G40" s="5">
        <f t="shared" si="0"/>
        <v>300</v>
      </c>
      <c r="H40" s="4"/>
      <c r="I40" s="4">
        <f t="shared" si="3"/>
        <v>0</v>
      </c>
      <c r="J40" s="4"/>
      <c r="K40" s="7" t="s">
        <v>41</v>
      </c>
      <c r="L40" s="4"/>
    </row>
    <row r="41" spans="1:12" ht="15.75" customHeight="1">
      <c r="A41" s="4" t="s">
        <v>39</v>
      </c>
      <c r="B41" s="4" t="s">
        <v>19</v>
      </c>
      <c r="C41" s="4" t="s">
        <v>22</v>
      </c>
      <c r="D41" s="4" t="s">
        <v>16</v>
      </c>
      <c r="E41" s="4">
        <v>9</v>
      </c>
      <c r="F41" s="5">
        <v>5</v>
      </c>
      <c r="G41" s="5">
        <f t="shared" si="0"/>
        <v>0.55555555555555558</v>
      </c>
      <c r="H41" s="6">
        <f>'Weighing Reference'!E17</f>
        <v>63.492063492063494</v>
      </c>
      <c r="I41" s="4">
        <f t="shared" si="3"/>
        <v>35.273368606701943</v>
      </c>
      <c r="J41" s="4"/>
      <c r="K41" s="7" t="s">
        <v>41</v>
      </c>
      <c r="L41" s="4"/>
    </row>
    <row r="42" spans="1:12" ht="15.75" customHeight="1">
      <c r="A42" s="4" t="s">
        <v>39</v>
      </c>
      <c r="B42" s="4" t="s">
        <v>23</v>
      </c>
      <c r="C42" s="4" t="s">
        <v>20</v>
      </c>
      <c r="D42" s="4" t="s">
        <v>24</v>
      </c>
      <c r="E42" s="4">
        <v>1</v>
      </c>
      <c r="F42" s="5">
        <v>10</v>
      </c>
      <c r="G42" s="5">
        <f t="shared" si="0"/>
        <v>10</v>
      </c>
      <c r="H42" s="6">
        <f>'Weighing Reference'!E26</f>
        <v>7.3529411764705879</v>
      </c>
      <c r="I42" s="4">
        <f t="shared" si="3"/>
        <v>73.529411764705884</v>
      </c>
      <c r="J42" s="4"/>
      <c r="K42" s="7" t="s">
        <v>41</v>
      </c>
      <c r="L42" s="4"/>
    </row>
    <row r="43" spans="1:12" ht="15.75" customHeight="1">
      <c r="A43" s="4" t="s">
        <v>39</v>
      </c>
      <c r="B43" s="4" t="s">
        <v>25</v>
      </c>
      <c r="C43" s="4" t="s">
        <v>20</v>
      </c>
      <c r="D43" s="4" t="s">
        <v>16</v>
      </c>
      <c r="E43" s="4">
        <v>1</v>
      </c>
      <c r="F43" s="5">
        <v>10</v>
      </c>
      <c r="G43" s="5">
        <f t="shared" si="0"/>
        <v>10</v>
      </c>
      <c r="H43" s="6">
        <f>'Weighing Reference'!E28</f>
        <v>8.5470085470085468</v>
      </c>
      <c r="I43" s="4">
        <f t="shared" si="3"/>
        <v>85.470085470085465</v>
      </c>
      <c r="J43" s="4"/>
      <c r="K43" s="7" t="s">
        <v>41</v>
      </c>
      <c r="L43" s="4"/>
    </row>
    <row r="44" spans="1:12" ht="15.75" customHeight="1">
      <c r="A44" s="4" t="s">
        <v>39</v>
      </c>
      <c r="B44" s="4" t="s">
        <v>27</v>
      </c>
      <c r="C44" s="4" t="s">
        <v>20</v>
      </c>
      <c r="D44" s="4" t="s">
        <v>21</v>
      </c>
      <c r="E44" s="4">
        <v>1</v>
      </c>
      <c r="F44" s="5">
        <v>500</v>
      </c>
      <c r="G44" s="5">
        <f t="shared" si="0"/>
        <v>500</v>
      </c>
      <c r="H44" s="4"/>
      <c r="I44" s="4">
        <f t="shared" si="3"/>
        <v>0</v>
      </c>
      <c r="J44" s="4"/>
      <c r="K44" s="7" t="s">
        <v>41</v>
      </c>
      <c r="L44" s="4"/>
    </row>
    <row r="45" spans="1:12" ht="15.75" customHeight="1">
      <c r="A45" s="4" t="s">
        <v>39</v>
      </c>
      <c r="B45" s="4" t="s">
        <v>27</v>
      </c>
      <c r="C45" s="4" t="s">
        <v>22</v>
      </c>
      <c r="D45" s="4" t="s">
        <v>16</v>
      </c>
      <c r="E45" s="4">
        <v>3</v>
      </c>
      <c r="F45" s="5">
        <v>5</v>
      </c>
      <c r="G45" s="5">
        <f t="shared" si="0"/>
        <v>1.6666666666666667</v>
      </c>
      <c r="H45" s="6">
        <f>'Weighing Reference'!E19</f>
        <v>8.1967213114754092</v>
      </c>
      <c r="I45" s="4">
        <f t="shared" si="3"/>
        <v>13.66120218579235</v>
      </c>
      <c r="J45" s="4"/>
      <c r="K45" s="7" t="s">
        <v>41</v>
      </c>
      <c r="L45" s="4"/>
    </row>
    <row r="46" spans="1:12" ht="15.75" customHeight="1">
      <c r="A46" s="4" t="s">
        <v>39</v>
      </c>
      <c r="B46" s="4" t="s">
        <v>28</v>
      </c>
      <c r="C46" s="4" t="s">
        <v>15</v>
      </c>
      <c r="D46" s="4" t="s">
        <v>16</v>
      </c>
      <c r="E46" s="4">
        <v>12</v>
      </c>
      <c r="F46" s="5">
        <v>40</v>
      </c>
      <c r="G46" s="5">
        <f t="shared" si="0"/>
        <v>3.3333333333333335</v>
      </c>
      <c r="H46" s="6">
        <f>'Weighing Reference'!E16</f>
        <v>7.042253521126761</v>
      </c>
      <c r="I46" s="4">
        <f t="shared" si="3"/>
        <v>23.474178403755872</v>
      </c>
      <c r="J46" s="4"/>
      <c r="K46" s="7" t="s">
        <v>41</v>
      </c>
      <c r="L46" s="4"/>
    </row>
    <row r="47" spans="1:12" ht="15.75" customHeight="1">
      <c r="A47" s="4" t="s">
        <v>39</v>
      </c>
      <c r="B47" s="4" t="s">
        <v>29</v>
      </c>
      <c r="C47" s="7" t="s">
        <v>18</v>
      </c>
      <c r="D47" s="4" t="s">
        <v>16</v>
      </c>
      <c r="E47" s="4">
        <v>4</v>
      </c>
      <c r="F47" s="5">
        <v>5</v>
      </c>
      <c r="G47" s="5">
        <f t="shared" si="0"/>
        <v>1.25</v>
      </c>
      <c r="H47" s="6">
        <f>'Weighing Reference'!E13</f>
        <v>16.042780748663102</v>
      </c>
      <c r="I47" s="4">
        <f t="shared" si="3"/>
        <v>20.053475935828878</v>
      </c>
      <c r="J47" s="4"/>
      <c r="K47" s="7" t="s">
        <v>41</v>
      </c>
      <c r="L47" s="4"/>
    </row>
    <row r="48" spans="1:12" ht="15.75" customHeight="1">
      <c r="A48" s="4" t="s">
        <v>39</v>
      </c>
      <c r="B48" s="4" t="s">
        <v>37</v>
      </c>
      <c r="C48" s="4" t="s">
        <v>20</v>
      </c>
      <c r="D48" s="4" t="s">
        <v>21</v>
      </c>
      <c r="E48" s="4">
        <v>1</v>
      </c>
      <c r="F48" s="5">
        <v>875</v>
      </c>
      <c r="G48" s="5">
        <f t="shared" si="0"/>
        <v>875</v>
      </c>
      <c r="H48" s="4"/>
      <c r="I48" s="4">
        <f t="shared" si="3"/>
        <v>0</v>
      </c>
      <c r="J48" s="4"/>
      <c r="K48" s="7" t="s">
        <v>41</v>
      </c>
      <c r="L48" s="4"/>
    </row>
    <row r="49" spans="1:12" ht="15.75" customHeight="1">
      <c r="A49" s="4" t="s">
        <v>39</v>
      </c>
      <c r="B49" s="4" t="s">
        <v>37</v>
      </c>
      <c r="C49" s="4" t="s">
        <v>20</v>
      </c>
      <c r="D49" s="4" t="s">
        <v>38</v>
      </c>
      <c r="E49" s="4">
        <v>1</v>
      </c>
      <c r="F49" s="5">
        <v>20</v>
      </c>
      <c r="G49" s="5">
        <f t="shared" si="0"/>
        <v>20</v>
      </c>
      <c r="H49" s="4"/>
      <c r="I49" s="4">
        <f t="shared" si="3"/>
        <v>0</v>
      </c>
      <c r="J49" s="4"/>
      <c r="K49" s="7" t="s">
        <v>41</v>
      </c>
      <c r="L49" s="4"/>
    </row>
    <row r="50" spans="1:12" ht="15.75" customHeight="1">
      <c r="A50" s="4" t="s">
        <v>39</v>
      </c>
      <c r="B50" s="4" t="s">
        <v>30</v>
      </c>
      <c r="C50" s="4" t="s">
        <v>15</v>
      </c>
      <c r="D50" s="4" t="s">
        <v>16</v>
      </c>
      <c r="E50" s="4">
        <v>3</v>
      </c>
      <c r="F50" s="5">
        <v>5</v>
      </c>
      <c r="G50" s="5">
        <f t="shared" si="0"/>
        <v>1.6666666666666667</v>
      </c>
      <c r="H50" s="4"/>
      <c r="I50" s="4">
        <f t="shared" si="3"/>
        <v>0</v>
      </c>
      <c r="J50" s="4"/>
      <c r="K50" s="7" t="s">
        <v>41</v>
      </c>
      <c r="L50" s="4"/>
    </row>
    <row r="51" spans="1:12" ht="15.75" customHeight="1">
      <c r="A51" s="4" t="s">
        <v>39</v>
      </c>
      <c r="B51" s="4" t="s">
        <v>30</v>
      </c>
      <c r="C51" s="4" t="s">
        <v>18</v>
      </c>
      <c r="D51" s="4" t="s">
        <v>16</v>
      </c>
      <c r="E51" s="4">
        <v>3</v>
      </c>
      <c r="F51" s="5">
        <v>10</v>
      </c>
      <c r="G51" s="5">
        <f t="shared" si="0"/>
        <v>3.3333333333333335</v>
      </c>
      <c r="H51" s="5">
        <f>'Weighing Reference'!E10</f>
        <v>9.1954022988505741</v>
      </c>
      <c r="I51" s="4">
        <f t="shared" si="3"/>
        <v>30.651340996168582</v>
      </c>
      <c r="J51" s="4"/>
      <c r="K51" s="7" t="s">
        <v>41</v>
      </c>
      <c r="L51" s="4"/>
    </row>
    <row r="52" spans="1:12" ht="15.75" customHeight="1">
      <c r="A52" s="7" t="s">
        <v>39</v>
      </c>
      <c r="B52" s="7" t="s">
        <v>42</v>
      </c>
      <c r="C52" s="7" t="s">
        <v>43</v>
      </c>
      <c r="D52" s="7" t="s">
        <v>16</v>
      </c>
      <c r="E52" s="7">
        <v>1</v>
      </c>
      <c r="F52" s="12">
        <v>20</v>
      </c>
      <c r="G52" s="12">
        <v>20</v>
      </c>
      <c r="H52" s="13">
        <f>'Weighing Reference'!E21</f>
        <v>10.638297872340425</v>
      </c>
      <c r="I52" s="4">
        <f t="shared" si="3"/>
        <v>212.7659574468085</v>
      </c>
      <c r="J52" s="4"/>
      <c r="K52" s="7" t="s">
        <v>41</v>
      </c>
      <c r="L52" s="4"/>
    </row>
    <row r="53" spans="1:12" ht="15.75" customHeight="1">
      <c r="A53" s="7" t="s">
        <v>39</v>
      </c>
      <c r="B53" s="7" t="s">
        <v>42</v>
      </c>
      <c r="C53" s="7" t="s">
        <v>18</v>
      </c>
      <c r="D53" s="7" t="s">
        <v>16</v>
      </c>
      <c r="E53" s="7">
        <v>1</v>
      </c>
      <c r="F53" s="12">
        <v>10</v>
      </c>
      <c r="G53" s="12">
        <v>10</v>
      </c>
      <c r="H53" s="13">
        <f>'Weighing Reference'!E22</f>
        <v>20</v>
      </c>
      <c r="I53" s="7">
        <f>G53*H53</f>
        <v>200</v>
      </c>
      <c r="J53" s="4"/>
      <c r="K53" s="7" t="s">
        <v>41</v>
      </c>
      <c r="L53" s="4"/>
    </row>
    <row r="54" spans="1:12" ht="15.75" customHeight="1">
      <c r="A54" s="4" t="s">
        <v>39</v>
      </c>
      <c r="B54" s="4" t="s">
        <v>32</v>
      </c>
      <c r="C54" s="4" t="s">
        <v>20</v>
      </c>
      <c r="D54" s="4" t="s">
        <v>33</v>
      </c>
      <c r="E54" s="4">
        <v>1</v>
      </c>
      <c r="F54" s="5">
        <v>10</v>
      </c>
      <c r="G54" s="5">
        <f>F54/E54</f>
        <v>10</v>
      </c>
      <c r="H54" s="4">
        <f>'Weighing Reference'!E25</f>
        <v>2</v>
      </c>
      <c r="I54" s="4">
        <f>H54*G54</f>
        <v>20</v>
      </c>
      <c r="J54" s="4"/>
      <c r="K54" s="7" t="s">
        <v>41</v>
      </c>
      <c r="L54" s="4"/>
    </row>
    <row r="55" spans="1:12" ht="15.75" customHeight="1"/>
    <row r="56" spans="1:12" ht="15.75" customHeight="1"/>
    <row r="57" spans="1:12" ht="15.75" customHeight="1"/>
    <row r="58" spans="1:12" ht="15.75" customHeight="1"/>
    <row r="59" spans="1:12" ht="15.75" customHeight="1">
      <c r="C59" s="10" t="s">
        <v>44</v>
      </c>
    </row>
    <row r="60" spans="1:12" ht="15.75" customHeight="1"/>
    <row r="61" spans="1:12" ht="15.75" customHeight="1">
      <c r="C61" s="10" t="s">
        <v>45</v>
      </c>
      <c r="D61" s="10" t="s">
        <v>46</v>
      </c>
      <c r="E61" s="10" t="s">
        <v>47</v>
      </c>
    </row>
    <row r="62" spans="1:12" ht="15.75" customHeight="1"/>
    <row r="63" spans="1:12" ht="15.75" customHeight="1">
      <c r="C63" s="10" t="s">
        <v>48</v>
      </c>
      <c r="D63" s="10" t="s">
        <v>46</v>
      </c>
      <c r="E63" s="10" t="s">
        <v>49</v>
      </c>
    </row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A1:L1"/>
    <mergeCell ref="A2:L2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991"/>
  <sheetViews>
    <sheetView tabSelected="1" workbookViewId="0">
      <pane ySplit="4" topLeftCell="A5" activePane="bottomLeft" state="frozen"/>
      <selection pane="bottomLeft" activeCell="A3" sqref="A3"/>
    </sheetView>
  </sheetViews>
  <sheetFormatPr defaultColWidth="14.42578125" defaultRowHeight="15" customHeight="1"/>
  <cols>
    <col min="1" max="1" width="13.140625" customWidth="1"/>
    <col min="2" max="2" width="13.28515625" customWidth="1"/>
    <col min="3" max="3" width="22.5703125" customWidth="1"/>
    <col min="4" max="4" width="10.85546875" customWidth="1"/>
    <col min="5" max="5" width="8.7109375" customWidth="1"/>
    <col min="6" max="6" width="13.5703125" customWidth="1"/>
    <col min="7" max="15" width="8.7109375" customWidth="1"/>
    <col min="16" max="16" width="13.7109375" customWidth="1"/>
    <col min="17" max="27" width="8.7109375" customWidth="1"/>
  </cols>
  <sheetData>
    <row r="1" spans="1:27" ht="30" customHeight="1">
      <c r="A1" s="76" t="s">
        <v>50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75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4"/>
      <c r="O2" s="4"/>
      <c r="P2" s="4"/>
    </row>
    <row r="3" spans="1:27" ht="42" customHeight="1">
      <c r="A3" s="2" t="s">
        <v>51</v>
      </c>
      <c r="B3" s="2" t="s">
        <v>2</v>
      </c>
      <c r="C3" s="2" t="s">
        <v>3</v>
      </c>
      <c r="D3" s="2" t="s">
        <v>52</v>
      </c>
      <c r="E3" s="2" t="s">
        <v>53</v>
      </c>
      <c r="F3" s="2" t="s">
        <v>54</v>
      </c>
      <c r="G3" s="2" t="s">
        <v>55</v>
      </c>
      <c r="H3" s="3" t="s">
        <v>56</v>
      </c>
      <c r="I3" s="2" t="s">
        <v>57</v>
      </c>
      <c r="J3" s="2" t="s">
        <v>58</v>
      </c>
      <c r="K3" s="2" t="s">
        <v>59</v>
      </c>
      <c r="L3" s="2" t="s">
        <v>60</v>
      </c>
      <c r="M3" s="2" t="s">
        <v>61</v>
      </c>
      <c r="N3" s="2" t="s">
        <v>62</v>
      </c>
      <c r="O3" s="2" t="s">
        <v>63</v>
      </c>
      <c r="P3" s="2" t="s">
        <v>11</v>
      </c>
    </row>
    <row r="4" spans="1:27">
      <c r="A4" s="14">
        <v>46113</v>
      </c>
      <c r="B4" s="4" t="s">
        <v>34</v>
      </c>
      <c r="C4" s="4" t="s">
        <v>64</v>
      </c>
      <c r="D4" s="4">
        <v>2</v>
      </c>
      <c r="E4" s="4">
        <v>2</v>
      </c>
      <c r="F4" s="4">
        <f t="shared" ref="F4:F7" si="0">D4-E4</f>
        <v>0</v>
      </c>
      <c r="G4" s="15">
        <f t="shared" ref="G4:G7" si="1">F4/D4</f>
        <v>0</v>
      </c>
      <c r="H4" s="4">
        <f t="shared" ref="H4:H25" si="2">D4-E4-F4</f>
        <v>0</v>
      </c>
      <c r="I4" s="4" t="s">
        <v>65</v>
      </c>
      <c r="J4" s="4">
        <v>35</v>
      </c>
      <c r="K4" s="4">
        <v>5</v>
      </c>
      <c r="L4" s="4">
        <f t="shared" ref="L4:L18" si="3">J4*K4</f>
        <v>175</v>
      </c>
      <c r="M4" s="4"/>
      <c r="N4" s="4">
        <f t="shared" ref="N4:N26" si="4">L4-M4</f>
        <v>175</v>
      </c>
      <c r="O4" s="4">
        <f t="shared" ref="O4:O26" si="5">N4/E4</f>
        <v>87.5</v>
      </c>
      <c r="P4" s="4"/>
    </row>
    <row r="5" spans="1:27">
      <c r="A5" s="14">
        <v>46113</v>
      </c>
      <c r="B5" s="4" t="s">
        <v>34</v>
      </c>
      <c r="C5" s="4" t="s">
        <v>29</v>
      </c>
      <c r="D5" s="4">
        <v>5</v>
      </c>
      <c r="E5" s="4">
        <v>5</v>
      </c>
      <c r="F5" s="4">
        <f t="shared" si="0"/>
        <v>0</v>
      </c>
      <c r="G5" s="15">
        <f t="shared" si="1"/>
        <v>0</v>
      </c>
      <c r="H5" s="4">
        <f t="shared" si="2"/>
        <v>0</v>
      </c>
      <c r="I5" s="4" t="s">
        <v>65</v>
      </c>
      <c r="J5" s="4">
        <v>21.25</v>
      </c>
      <c r="K5" s="4">
        <v>4</v>
      </c>
      <c r="L5" s="4">
        <f t="shared" si="3"/>
        <v>85</v>
      </c>
      <c r="M5" s="4"/>
      <c r="N5" s="4">
        <f t="shared" si="4"/>
        <v>85</v>
      </c>
      <c r="O5" s="4">
        <f t="shared" si="5"/>
        <v>17</v>
      </c>
      <c r="P5" s="4"/>
    </row>
    <row r="6" spans="1:27">
      <c r="A6" s="14">
        <v>46113</v>
      </c>
      <c r="B6" s="4" t="s">
        <v>34</v>
      </c>
      <c r="C6" s="4" t="s">
        <v>30</v>
      </c>
      <c r="D6" s="4">
        <v>11</v>
      </c>
      <c r="E6" s="4">
        <v>10.5</v>
      </c>
      <c r="F6" s="4">
        <f t="shared" si="0"/>
        <v>0.5</v>
      </c>
      <c r="G6" s="15">
        <f t="shared" si="1"/>
        <v>4.5454545454545456E-2</v>
      </c>
      <c r="H6" s="4">
        <f t="shared" si="2"/>
        <v>0</v>
      </c>
      <c r="I6" s="4" t="s">
        <v>65</v>
      </c>
      <c r="J6" s="4">
        <v>22</v>
      </c>
      <c r="K6" s="4">
        <v>2</v>
      </c>
      <c r="L6" s="4">
        <f t="shared" si="3"/>
        <v>44</v>
      </c>
      <c r="M6" s="4"/>
      <c r="N6" s="4">
        <f t="shared" si="4"/>
        <v>44</v>
      </c>
      <c r="O6" s="4">
        <f t="shared" si="5"/>
        <v>4.1904761904761907</v>
      </c>
      <c r="P6" s="4"/>
    </row>
    <row r="7" spans="1:27">
      <c r="A7" s="14">
        <v>46113</v>
      </c>
      <c r="B7" s="4" t="s">
        <v>34</v>
      </c>
      <c r="C7" s="4" t="s">
        <v>23</v>
      </c>
      <c r="D7" s="4">
        <v>3</v>
      </c>
      <c r="E7" s="4">
        <v>3</v>
      </c>
      <c r="F7" s="4">
        <f t="shared" si="0"/>
        <v>0</v>
      </c>
      <c r="G7" s="15">
        <f t="shared" si="1"/>
        <v>0</v>
      </c>
      <c r="H7" s="4">
        <f t="shared" si="2"/>
        <v>0</v>
      </c>
      <c r="I7" s="4" t="s">
        <v>66</v>
      </c>
      <c r="J7" s="4">
        <v>20</v>
      </c>
      <c r="K7" s="4">
        <v>7</v>
      </c>
      <c r="L7" s="4">
        <f t="shared" si="3"/>
        <v>140</v>
      </c>
      <c r="M7" s="4"/>
      <c r="N7" s="4">
        <f t="shared" si="4"/>
        <v>140</v>
      </c>
      <c r="O7" s="4">
        <f t="shared" si="5"/>
        <v>46.666666666666664</v>
      </c>
      <c r="P7" s="4"/>
    </row>
    <row r="8" spans="1:27">
      <c r="A8" s="16">
        <v>46122</v>
      </c>
      <c r="B8" s="7" t="s">
        <v>13</v>
      </c>
      <c r="C8" s="7" t="s">
        <v>23</v>
      </c>
      <c r="D8" s="7">
        <v>1</v>
      </c>
      <c r="E8" s="7">
        <v>1</v>
      </c>
      <c r="F8" s="7">
        <v>0</v>
      </c>
      <c r="G8" s="17">
        <v>0</v>
      </c>
      <c r="H8" s="4">
        <f t="shared" si="2"/>
        <v>0</v>
      </c>
      <c r="I8" s="7" t="s">
        <v>66</v>
      </c>
      <c r="J8" s="7">
        <v>2</v>
      </c>
      <c r="K8" s="7">
        <v>5</v>
      </c>
      <c r="L8" s="4">
        <f t="shared" si="3"/>
        <v>10</v>
      </c>
      <c r="M8" s="7">
        <v>0</v>
      </c>
      <c r="N8" s="4">
        <f t="shared" si="4"/>
        <v>10</v>
      </c>
      <c r="O8" s="4">
        <f t="shared" si="5"/>
        <v>10</v>
      </c>
      <c r="P8" s="4"/>
    </row>
    <row r="9" spans="1:27">
      <c r="A9" s="16">
        <v>46125</v>
      </c>
      <c r="B9" s="7" t="s">
        <v>13</v>
      </c>
      <c r="C9" s="7" t="s">
        <v>29</v>
      </c>
      <c r="D9" s="7">
        <v>3</v>
      </c>
      <c r="E9" s="7">
        <v>2</v>
      </c>
      <c r="F9" s="7">
        <v>0</v>
      </c>
      <c r="G9" s="17">
        <v>0</v>
      </c>
      <c r="H9" s="4">
        <f t="shared" si="2"/>
        <v>1</v>
      </c>
      <c r="I9" s="7" t="s">
        <v>65</v>
      </c>
      <c r="J9" s="7">
        <v>4</v>
      </c>
      <c r="K9" s="7">
        <v>2</v>
      </c>
      <c r="L9" s="4">
        <f t="shared" si="3"/>
        <v>8</v>
      </c>
      <c r="M9" s="7">
        <v>0</v>
      </c>
      <c r="N9" s="4">
        <f t="shared" si="4"/>
        <v>8</v>
      </c>
      <c r="O9" s="4">
        <f t="shared" si="5"/>
        <v>4</v>
      </c>
      <c r="P9" s="7" t="s">
        <v>67</v>
      </c>
    </row>
    <row r="10" spans="1:27">
      <c r="A10" s="16">
        <v>46125</v>
      </c>
      <c r="B10" s="7" t="s">
        <v>13</v>
      </c>
      <c r="C10" s="7" t="s">
        <v>30</v>
      </c>
      <c r="D10" s="7">
        <v>5</v>
      </c>
      <c r="E10" s="7">
        <v>5</v>
      </c>
      <c r="F10" s="7">
        <v>0</v>
      </c>
      <c r="G10" s="17">
        <v>0</v>
      </c>
      <c r="H10" s="4">
        <f t="shared" si="2"/>
        <v>0</v>
      </c>
      <c r="I10" s="7" t="s">
        <v>68</v>
      </c>
      <c r="J10" s="7">
        <v>5</v>
      </c>
      <c r="K10" s="7">
        <v>2</v>
      </c>
      <c r="L10" s="4">
        <f t="shared" si="3"/>
        <v>10</v>
      </c>
      <c r="M10" s="7">
        <v>0</v>
      </c>
      <c r="N10" s="4">
        <f t="shared" si="4"/>
        <v>10</v>
      </c>
      <c r="O10" s="4">
        <f t="shared" si="5"/>
        <v>2</v>
      </c>
      <c r="P10" s="4"/>
    </row>
    <row r="11" spans="1:27">
      <c r="A11" s="16">
        <v>46125</v>
      </c>
      <c r="B11" s="7" t="s">
        <v>13</v>
      </c>
      <c r="C11" s="7" t="s">
        <v>23</v>
      </c>
      <c r="D11" s="7">
        <v>2.6</v>
      </c>
      <c r="E11" s="7">
        <v>2.6</v>
      </c>
      <c r="F11" s="7">
        <v>0</v>
      </c>
      <c r="G11" s="17">
        <v>0</v>
      </c>
      <c r="H11" s="4">
        <f t="shared" si="2"/>
        <v>0</v>
      </c>
      <c r="I11" s="7" t="s">
        <v>66</v>
      </c>
      <c r="J11" s="7">
        <v>6</v>
      </c>
      <c r="K11" s="7">
        <v>5</v>
      </c>
      <c r="L11" s="4">
        <f t="shared" si="3"/>
        <v>30</v>
      </c>
      <c r="M11" s="7">
        <v>0</v>
      </c>
      <c r="N11" s="4">
        <f t="shared" si="4"/>
        <v>30</v>
      </c>
      <c r="O11" s="18">
        <f t="shared" si="5"/>
        <v>11.538461538461538</v>
      </c>
      <c r="P11" s="4"/>
    </row>
    <row r="12" spans="1:27">
      <c r="A12" s="16">
        <v>46132</v>
      </c>
      <c r="B12" s="7" t="s">
        <v>13</v>
      </c>
      <c r="C12" s="7" t="s">
        <v>29</v>
      </c>
      <c r="D12" s="7">
        <v>3</v>
      </c>
      <c r="E12" s="7">
        <v>3</v>
      </c>
      <c r="F12" s="7">
        <v>0</v>
      </c>
      <c r="G12" s="17">
        <v>0</v>
      </c>
      <c r="H12" s="4">
        <f t="shared" si="2"/>
        <v>0</v>
      </c>
      <c r="I12" s="7" t="s">
        <v>65</v>
      </c>
      <c r="J12" s="7">
        <v>5</v>
      </c>
      <c r="K12" s="7">
        <v>2</v>
      </c>
      <c r="L12" s="4">
        <f t="shared" si="3"/>
        <v>10</v>
      </c>
      <c r="M12" s="7">
        <v>0</v>
      </c>
      <c r="N12" s="4">
        <f t="shared" si="4"/>
        <v>10</v>
      </c>
      <c r="O12" s="4">
        <f t="shared" si="5"/>
        <v>3.3333333333333335</v>
      </c>
      <c r="P12" s="4"/>
    </row>
    <row r="13" spans="1:27">
      <c r="A13" s="16">
        <v>46132</v>
      </c>
      <c r="B13" s="7" t="s">
        <v>13</v>
      </c>
      <c r="C13" s="7" t="s">
        <v>30</v>
      </c>
      <c r="D13" s="7">
        <v>4</v>
      </c>
      <c r="E13" s="7">
        <v>2</v>
      </c>
      <c r="F13" s="7">
        <v>0</v>
      </c>
      <c r="G13" s="17">
        <v>0</v>
      </c>
      <c r="H13" s="4">
        <f t="shared" si="2"/>
        <v>2</v>
      </c>
      <c r="I13" s="7" t="s">
        <v>65</v>
      </c>
      <c r="J13" s="7">
        <v>3</v>
      </c>
      <c r="K13" s="7">
        <v>2</v>
      </c>
      <c r="L13" s="4">
        <f t="shared" si="3"/>
        <v>6</v>
      </c>
      <c r="M13" s="7">
        <v>0</v>
      </c>
      <c r="N13" s="4">
        <f t="shared" si="4"/>
        <v>6</v>
      </c>
      <c r="O13" s="4">
        <f t="shared" si="5"/>
        <v>3</v>
      </c>
      <c r="P13" s="7" t="s">
        <v>69</v>
      </c>
    </row>
    <row r="14" spans="1:27">
      <c r="A14" s="16">
        <v>46132</v>
      </c>
      <c r="B14" s="7" t="s">
        <v>13</v>
      </c>
      <c r="C14" s="7" t="s">
        <v>23</v>
      </c>
      <c r="D14" s="7">
        <v>0.5</v>
      </c>
      <c r="E14" s="7">
        <v>0.5</v>
      </c>
      <c r="F14" s="4"/>
      <c r="G14" s="17">
        <v>0</v>
      </c>
      <c r="H14" s="4">
        <f t="shared" si="2"/>
        <v>0</v>
      </c>
      <c r="I14" s="7" t="s">
        <v>66</v>
      </c>
      <c r="J14" s="7">
        <v>2</v>
      </c>
      <c r="K14" s="7">
        <v>5</v>
      </c>
      <c r="L14" s="4">
        <f t="shared" si="3"/>
        <v>10</v>
      </c>
      <c r="M14" s="7">
        <v>0</v>
      </c>
      <c r="N14" s="4">
        <f t="shared" si="4"/>
        <v>10</v>
      </c>
      <c r="O14" s="4">
        <f t="shared" si="5"/>
        <v>20</v>
      </c>
      <c r="P14" s="4"/>
    </row>
    <row r="15" spans="1:27">
      <c r="A15" s="16">
        <v>46132</v>
      </c>
      <c r="B15" s="7" t="s">
        <v>13</v>
      </c>
      <c r="C15" s="7" t="s">
        <v>64</v>
      </c>
      <c r="D15" s="7">
        <v>1</v>
      </c>
      <c r="E15" s="7">
        <v>1</v>
      </c>
      <c r="F15" s="4"/>
      <c r="G15" s="17">
        <v>0</v>
      </c>
      <c r="H15" s="4">
        <f t="shared" si="2"/>
        <v>0</v>
      </c>
      <c r="I15" s="7" t="s">
        <v>66</v>
      </c>
      <c r="J15" s="7">
        <v>2</v>
      </c>
      <c r="K15" s="7">
        <v>5</v>
      </c>
      <c r="L15" s="4">
        <f t="shared" si="3"/>
        <v>10</v>
      </c>
      <c r="M15" s="7">
        <v>0</v>
      </c>
      <c r="N15" s="4">
        <f t="shared" si="4"/>
        <v>10</v>
      </c>
      <c r="O15" s="4">
        <f t="shared" si="5"/>
        <v>10</v>
      </c>
      <c r="P15" s="4"/>
    </row>
    <row r="16" spans="1:27">
      <c r="A16" s="14">
        <v>46140</v>
      </c>
      <c r="B16" s="4" t="s">
        <v>13</v>
      </c>
      <c r="C16" s="4" t="s">
        <v>23</v>
      </c>
      <c r="D16" s="4">
        <v>1</v>
      </c>
      <c r="E16" s="4">
        <v>1</v>
      </c>
      <c r="F16" s="4">
        <f t="shared" ref="F16:F26" si="6">D16-E16</f>
        <v>0</v>
      </c>
      <c r="G16" s="15">
        <f t="shared" ref="G16:G26" si="7">F16/D16</f>
        <v>0</v>
      </c>
      <c r="H16" s="4">
        <f t="shared" si="2"/>
        <v>0</v>
      </c>
      <c r="I16" s="4" t="s">
        <v>66</v>
      </c>
      <c r="J16" s="4">
        <v>3</v>
      </c>
      <c r="K16" s="4">
        <v>5</v>
      </c>
      <c r="L16" s="4">
        <f t="shared" si="3"/>
        <v>15</v>
      </c>
      <c r="M16" s="4">
        <v>0</v>
      </c>
      <c r="N16" s="4">
        <f t="shared" si="4"/>
        <v>15</v>
      </c>
      <c r="O16" s="4">
        <f t="shared" si="5"/>
        <v>15</v>
      </c>
      <c r="P16" s="4"/>
    </row>
    <row r="17" spans="1:16">
      <c r="A17" s="14">
        <v>46140</v>
      </c>
      <c r="B17" s="4" t="s">
        <v>13</v>
      </c>
      <c r="C17" s="4" t="s">
        <v>64</v>
      </c>
      <c r="D17" s="4">
        <v>0.5</v>
      </c>
      <c r="E17" s="4">
        <v>0.5</v>
      </c>
      <c r="F17" s="4">
        <f t="shared" si="6"/>
        <v>0</v>
      </c>
      <c r="G17" s="15">
        <f t="shared" si="7"/>
        <v>0</v>
      </c>
      <c r="H17" s="4">
        <f t="shared" si="2"/>
        <v>0</v>
      </c>
      <c r="I17" s="4" t="s">
        <v>66</v>
      </c>
      <c r="J17" s="4">
        <v>2</v>
      </c>
      <c r="K17" s="4">
        <v>5</v>
      </c>
      <c r="L17" s="4">
        <f t="shared" si="3"/>
        <v>10</v>
      </c>
      <c r="M17" s="4">
        <v>0</v>
      </c>
      <c r="N17" s="4">
        <f t="shared" si="4"/>
        <v>10</v>
      </c>
      <c r="O17" s="4">
        <f t="shared" si="5"/>
        <v>20</v>
      </c>
      <c r="P17" s="4"/>
    </row>
    <row r="18" spans="1:16">
      <c r="A18" s="14">
        <v>46140</v>
      </c>
      <c r="B18" s="4" t="s">
        <v>13</v>
      </c>
      <c r="C18" s="4" t="s">
        <v>30</v>
      </c>
      <c r="D18" s="4">
        <v>2.5</v>
      </c>
      <c r="E18" s="4">
        <v>2</v>
      </c>
      <c r="F18" s="4">
        <f t="shared" si="6"/>
        <v>0.5</v>
      </c>
      <c r="G18" s="15">
        <f t="shared" si="7"/>
        <v>0.2</v>
      </c>
      <c r="H18" s="4">
        <f t="shared" si="2"/>
        <v>0</v>
      </c>
      <c r="I18" s="4" t="s">
        <v>65</v>
      </c>
      <c r="J18" s="4">
        <v>5</v>
      </c>
      <c r="K18" s="4">
        <v>3</v>
      </c>
      <c r="L18" s="4">
        <f t="shared" si="3"/>
        <v>15</v>
      </c>
      <c r="M18" s="4">
        <v>0</v>
      </c>
      <c r="N18" s="4">
        <f t="shared" si="4"/>
        <v>15</v>
      </c>
      <c r="O18" s="4">
        <f t="shared" si="5"/>
        <v>7.5</v>
      </c>
      <c r="P18" s="19" t="s">
        <v>70</v>
      </c>
    </row>
    <row r="19" spans="1:16">
      <c r="A19" s="16">
        <v>46147</v>
      </c>
      <c r="B19" s="7" t="s">
        <v>13</v>
      </c>
      <c r="C19" s="7" t="s">
        <v>30</v>
      </c>
      <c r="D19" s="7">
        <v>2</v>
      </c>
      <c r="E19" s="7">
        <v>2</v>
      </c>
      <c r="F19" s="4">
        <f t="shared" si="6"/>
        <v>0</v>
      </c>
      <c r="G19" s="15">
        <f t="shared" si="7"/>
        <v>0</v>
      </c>
      <c r="H19" s="4">
        <f t="shared" si="2"/>
        <v>0</v>
      </c>
      <c r="I19" s="7" t="s">
        <v>65</v>
      </c>
      <c r="J19" s="7" t="s">
        <v>71</v>
      </c>
      <c r="K19" s="4"/>
      <c r="L19" s="7">
        <v>20</v>
      </c>
      <c r="M19" s="4"/>
      <c r="N19" s="4">
        <f t="shared" si="4"/>
        <v>20</v>
      </c>
      <c r="O19" s="4">
        <f t="shared" si="5"/>
        <v>10</v>
      </c>
      <c r="P19" s="4"/>
    </row>
    <row r="20" spans="1:16">
      <c r="A20" s="16">
        <v>46153</v>
      </c>
      <c r="B20" s="7" t="s">
        <v>13</v>
      </c>
      <c r="C20" s="7" t="s">
        <v>23</v>
      </c>
      <c r="D20" s="7">
        <v>1.5</v>
      </c>
      <c r="E20" s="7">
        <v>1.5</v>
      </c>
      <c r="F20" s="4">
        <f t="shared" si="6"/>
        <v>0</v>
      </c>
      <c r="G20" s="15">
        <f t="shared" si="7"/>
        <v>0</v>
      </c>
      <c r="H20" s="4">
        <f t="shared" si="2"/>
        <v>0</v>
      </c>
      <c r="I20" s="7" t="s">
        <v>66</v>
      </c>
      <c r="J20" s="7">
        <v>6</v>
      </c>
      <c r="K20" s="7">
        <v>5</v>
      </c>
      <c r="L20" s="4">
        <f t="shared" ref="L20:L26" si="8">J20*K20</f>
        <v>30</v>
      </c>
      <c r="M20" s="4"/>
      <c r="N20" s="4">
        <f t="shared" si="4"/>
        <v>30</v>
      </c>
      <c r="O20" s="4">
        <f t="shared" si="5"/>
        <v>20</v>
      </c>
      <c r="P20" s="4"/>
    </row>
    <row r="21" spans="1:16">
      <c r="A21" s="16">
        <v>46153</v>
      </c>
      <c r="B21" s="7" t="s">
        <v>13</v>
      </c>
      <c r="C21" s="7" t="s">
        <v>30</v>
      </c>
      <c r="D21" s="7">
        <v>2</v>
      </c>
      <c r="E21" s="7">
        <v>2</v>
      </c>
      <c r="F21" s="4">
        <f t="shared" si="6"/>
        <v>0</v>
      </c>
      <c r="G21" s="15">
        <f t="shared" si="7"/>
        <v>0</v>
      </c>
      <c r="H21" s="4">
        <f t="shared" si="2"/>
        <v>0</v>
      </c>
      <c r="I21" s="7" t="s">
        <v>65</v>
      </c>
      <c r="J21" s="7">
        <v>3</v>
      </c>
      <c r="K21" s="7">
        <v>5</v>
      </c>
      <c r="L21" s="4">
        <f t="shared" si="8"/>
        <v>15</v>
      </c>
      <c r="M21" s="4"/>
      <c r="N21" s="4">
        <f t="shared" si="4"/>
        <v>15</v>
      </c>
      <c r="O21" s="4">
        <f t="shared" si="5"/>
        <v>7.5</v>
      </c>
      <c r="P21" s="4"/>
    </row>
    <row r="22" spans="1:16">
      <c r="A22" s="16">
        <v>46153</v>
      </c>
      <c r="B22" s="7" t="s">
        <v>13</v>
      </c>
      <c r="C22" s="7" t="s">
        <v>29</v>
      </c>
      <c r="D22" s="7">
        <v>2</v>
      </c>
      <c r="E22" s="7">
        <v>2</v>
      </c>
      <c r="F22" s="4">
        <f t="shared" si="6"/>
        <v>0</v>
      </c>
      <c r="G22" s="15">
        <f t="shared" si="7"/>
        <v>0</v>
      </c>
      <c r="H22" s="4">
        <f t="shared" si="2"/>
        <v>0</v>
      </c>
      <c r="I22" s="7" t="s">
        <v>65</v>
      </c>
      <c r="J22" s="7">
        <v>3</v>
      </c>
      <c r="K22" s="7">
        <v>5</v>
      </c>
      <c r="L22" s="4">
        <f t="shared" si="8"/>
        <v>15</v>
      </c>
      <c r="M22" s="4"/>
      <c r="N22" s="4">
        <f t="shared" si="4"/>
        <v>15</v>
      </c>
      <c r="O22" s="4">
        <f t="shared" si="5"/>
        <v>7.5</v>
      </c>
      <c r="P22" s="4"/>
    </row>
    <row r="23" spans="1:16">
      <c r="A23" s="16">
        <v>46164</v>
      </c>
      <c r="B23" s="7" t="s">
        <v>13</v>
      </c>
      <c r="C23" s="7" t="s">
        <v>30</v>
      </c>
      <c r="D23" s="7">
        <v>5</v>
      </c>
      <c r="E23" s="7">
        <v>5</v>
      </c>
      <c r="F23" s="4">
        <f t="shared" si="6"/>
        <v>0</v>
      </c>
      <c r="G23" s="15">
        <f t="shared" si="7"/>
        <v>0</v>
      </c>
      <c r="H23" s="4">
        <f t="shared" si="2"/>
        <v>0</v>
      </c>
      <c r="I23" s="7" t="s">
        <v>65</v>
      </c>
      <c r="J23" s="7">
        <v>10</v>
      </c>
      <c r="K23" s="7">
        <v>5</v>
      </c>
      <c r="L23" s="4">
        <f t="shared" si="8"/>
        <v>50</v>
      </c>
      <c r="M23" s="4"/>
      <c r="N23" s="4">
        <f t="shared" si="4"/>
        <v>50</v>
      </c>
      <c r="O23" s="4">
        <f t="shared" si="5"/>
        <v>10</v>
      </c>
      <c r="P23" s="4"/>
    </row>
    <row r="24" spans="1:16">
      <c r="A24" s="16">
        <v>46164</v>
      </c>
      <c r="B24" s="7" t="s">
        <v>13</v>
      </c>
      <c r="C24" s="7" t="s">
        <v>29</v>
      </c>
      <c r="D24" s="7">
        <v>3.5</v>
      </c>
      <c r="E24" s="7">
        <v>3.5</v>
      </c>
      <c r="F24" s="4">
        <f t="shared" si="6"/>
        <v>0</v>
      </c>
      <c r="G24" s="15">
        <f t="shared" si="7"/>
        <v>0</v>
      </c>
      <c r="H24" s="4">
        <f t="shared" si="2"/>
        <v>0</v>
      </c>
      <c r="I24" s="7" t="s">
        <v>65</v>
      </c>
      <c r="J24" s="7">
        <v>4</v>
      </c>
      <c r="K24" s="7">
        <v>5</v>
      </c>
      <c r="L24" s="4">
        <f t="shared" si="8"/>
        <v>20</v>
      </c>
      <c r="M24" s="4"/>
      <c r="N24" s="4">
        <f t="shared" si="4"/>
        <v>20</v>
      </c>
      <c r="O24" s="4">
        <f t="shared" si="5"/>
        <v>5.7142857142857144</v>
      </c>
      <c r="P24" s="4"/>
    </row>
    <row r="25" spans="1:16">
      <c r="A25" s="16">
        <v>46164</v>
      </c>
      <c r="B25" s="7" t="s">
        <v>13</v>
      </c>
      <c r="C25" s="7" t="s">
        <v>23</v>
      </c>
      <c r="D25" s="7">
        <v>4</v>
      </c>
      <c r="E25" s="7">
        <v>4</v>
      </c>
      <c r="F25" s="4">
        <f t="shared" si="6"/>
        <v>0</v>
      </c>
      <c r="G25" s="15">
        <f t="shared" si="7"/>
        <v>0</v>
      </c>
      <c r="H25" s="4">
        <f t="shared" si="2"/>
        <v>0</v>
      </c>
      <c r="I25" s="7" t="s">
        <v>66</v>
      </c>
      <c r="J25" s="7">
        <v>32</v>
      </c>
      <c r="K25" s="7">
        <v>5</v>
      </c>
      <c r="L25" s="4">
        <f t="shared" si="8"/>
        <v>160</v>
      </c>
      <c r="M25" s="4"/>
      <c r="N25" s="4">
        <f t="shared" si="4"/>
        <v>160</v>
      </c>
      <c r="O25" s="4">
        <f t="shared" si="5"/>
        <v>40</v>
      </c>
      <c r="P25" s="4"/>
    </row>
    <row r="26" spans="1:16">
      <c r="A26" s="4"/>
      <c r="B26" s="4"/>
      <c r="C26" s="4"/>
      <c r="D26" s="4"/>
      <c r="E26" s="4"/>
      <c r="F26" s="4">
        <f t="shared" si="6"/>
        <v>0</v>
      </c>
      <c r="G26" s="15" t="e">
        <f t="shared" si="7"/>
        <v>#DIV/0!</v>
      </c>
      <c r="H26" s="4"/>
      <c r="I26" s="4"/>
      <c r="J26" s="4"/>
      <c r="K26" s="4"/>
      <c r="L26" s="4">
        <f t="shared" si="8"/>
        <v>0</v>
      </c>
      <c r="M26" s="4"/>
      <c r="N26" s="4">
        <f t="shared" si="4"/>
        <v>0</v>
      </c>
      <c r="O26" s="4" t="e">
        <f t="shared" si="5"/>
        <v>#DIV/0!</v>
      </c>
      <c r="P26" s="4"/>
    </row>
    <row r="27" spans="1:16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6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6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6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6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6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1:13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1:13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spans="1:13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1:13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 spans="1:13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1:13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spans="1:13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spans="1:1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 spans="1:13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ht="15.75" customHeight="1"/>
    <row r="47" spans="1:13" ht="15.75" customHeight="1"/>
    <row r="48" spans="1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">
    <mergeCell ref="A1:P1"/>
    <mergeCell ref="A2:M2"/>
  </mergeCell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18"/>
  <sheetViews>
    <sheetView workbookViewId="0"/>
  </sheetViews>
  <sheetFormatPr defaultColWidth="14.42578125" defaultRowHeight="15" customHeight="1"/>
  <cols>
    <col min="1" max="1" width="13.140625" customWidth="1"/>
    <col min="2" max="2" width="21" customWidth="1"/>
    <col min="3" max="3" width="11" customWidth="1"/>
    <col min="4" max="4" width="10.85546875" customWidth="1"/>
    <col min="5" max="5" width="8.7109375" customWidth="1"/>
    <col min="6" max="6" width="13.5703125" customWidth="1"/>
    <col min="7" max="12" width="8.7109375" customWidth="1"/>
    <col min="13" max="13" width="12" customWidth="1"/>
    <col min="14" max="14" width="8.7109375" customWidth="1"/>
    <col min="15" max="15" width="13.7109375" customWidth="1"/>
    <col min="16" max="16" width="11.42578125" customWidth="1"/>
    <col min="17" max="26" width="8.7109375" customWidth="1"/>
  </cols>
  <sheetData>
    <row r="1" spans="1:26" ht="30" customHeight="1">
      <c r="A1" s="78" t="s">
        <v>73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80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86" t="s">
        <v>74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</row>
    <row r="3" spans="1:26">
      <c r="A3" s="81" t="s">
        <v>75</v>
      </c>
      <c r="B3" s="73"/>
      <c r="C3" s="74"/>
      <c r="D3" s="82" t="s">
        <v>76</v>
      </c>
      <c r="E3" s="73"/>
      <c r="F3" s="74"/>
      <c r="G3" s="83" t="s">
        <v>34</v>
      </c>
      <c r="H3" s="73"/>
      <c r="I3" s="74"/>
      <c r="J3" s="84" t="s">
        <v>39</v>
      </c>
      <c r="K3" s="73"/>
      <c r="L3" s="74"/>
      <c r="M3" s="85" t="s">
        <v>77</v>
      </c>
      <c r="N3" s="73"/>
      <c r="O3" s="73"/>
      <c r="P3" s="74"/>
    </row>
    <row r="4" spans="1:26" ht="42" customHeight="1">
      <c r="A4" s="2" t="s">
        <v>51</v>
      </c>
      <c r="B4" s="2" t="s">
        <v>3</v>
      </c>
      <c r="C4" s="2" t="s">
        <v>52</v>
      </c>
      <c r="D4" s="23" t="s">
        <v>78</v>
      </c>
      <c r="E4" s="23" t="s">
        <v>79</v>
      </c>
      <c r="F4" s="23" t="s">
        <v>80</v>
      </c>
      <c r="G4" s="24" t="s">
        <v>78</v>
      </c>
      <c r="H4" s="24" t="s">
        <v>79</v>
      </c>
      <c r="I4" s="24" t="s">
        <v>80</v>
      </c>
      <c r="J4" s="25" t="s">
        <v>78</v>
      </c>
      <c r="K4" s="25" t="s">
        <v>79</v>
      </c>
      <c r="L4" s="25" t="s">
        <v>80</v>
      </c>
      <c r="M4" s="2" t="s">
        <v>81</v>
      </c>
      <c r="N4" s="2" t="s">
        <v>82</v>
      </c>
      <c r="O4" s="2" t="s">
        <v>83</v>
      </c>
      <c r="P4" s="2" t="s">
        <v>84</v>
      </c>
    </row>
    <row r="5" spans="1:26">
      <c r="A5" s="16">
        <v>46087</v>
      </c>
      <c r="B5" s="7" t="s">
        <v>23</v>
      </c>
      <c r="C5" s="7">
        <v>2.5</v>
      </c>
      <c r="D5" s="26"/>
      <c r="E5" s="27"/>
      <c r="F5" s="26"/>
      <c r="G5" s="28"/>
      <c r="H5" s="29"/>
      <c r="I5" s="29"/>
      <c r="J5" s="30"/>
      <c r="K5" s="30"/>
      <c r="L5" s="30"/>
      <c r="M5" s="4"/>
      <c r="N5" s="4"/>
      <c r="O5" s="4"/>
      <c r="P5" s="4"/>
      <c r="Q5" s="10" t="s">
        <v>85</v>
      </c>
    </row>
    <row r="6" spans="1:26">
      <c r="A6" s="14">
        <v>46113</v>
      </c>
      <c r="B6" s="4" t="s">
        <v>64</v>
      </c>
      <c r="C6" s="4">
        <v>2</v>
      </c>
      <c r="D6" s="26">
        <f>'Market prices'!I11*C6</f>
        <v>85.470085470085465</v>
      </c>
      <c r="E6" s="27">
        <v>0</v>
      </c>
      <c r="F6" s="31">
        <f t="shared" ref="F6:F9" si="0">D6-E6</f>
        <v>85.470085470085465</v>
      </c>
      <c r="G6" s="32">
        <f>'Daily Sales Record'!L4</f>
        <v>175</v>
      </c>
      <c r="H6" s="32">
        <f t="shared" ref="H6:H9" si="1">(C6*70)/(SUM($C$6:$C$9))</f>
        <v>6.666666666666667</v>
      </c>
      <c r="I6" s="33">
        <f t="shared" ref="I6:I9" si="2">G6-H6</f>
        <v>168.33333333333334</v>
      </c>
      <c r="J6" s="34">
        <f>'Market prices'!I43*C6</f>
        <v>170.94017094017093</v>
      </c>
      <c r="K6" s="35">
        <f t="shared" ref="K6:K9" si="3">(C6*160)/(SUM($C$6:$C$9))</f>
        <v>15.238095238095237</v>
      </c>
      <c r="L6" s="36">
        <f t="shared" ref="L6:L9" si="4">J6-K6</f>
        <v>155.70207570207569</v>
      </c>
      <c r="M6" s="5">
        <f t="shared" ref="M6:M9" si="5">F6/C6</f>
        <v>42.735042735042732</v>
      </c>
      <c r="N6" s="5">
        <f t="shared" ref="N6:N9" si="6">I6/C6</f>
        <v>84.166666666666671</v>
      </c>
      <c r="O6" s="5">
        <f t="shared" ref="O6:O9" si="7">L6/C6</f>
        <v>77.851037851037844</v>
      </c>
      <c r="P6" s="4"/>
    </row>
    <row r="7" spans="1:26">
      <c r="A7" s="14">
        <v>46113</v>
      </c>
      <c r="B7" s="4" t="s">
        <v>29</v>
      </c>
      <c r="C7" s="4">
        <v>5</v>
      </c>
      <c r="D7" s="26">
        <f>'Market prices'!I16*C7</f>
        <v>8.9126559714795004</v>
      </c>
      <c r="E7" s="27">
        <v>0</v>
      </c>
      <c r="F7" s="31">
        <f t="shared" si="0"/>
        <v>8.9126559714795004</v>
      </c>
      <c r="G7" s="32">
        <f>'Daily Sales Record'!L5</f>
        <v>85</v>
      </c>
      <c r="H7" s="32">
        <f t="shared" si="1"/>
        <v>16.666666666666668</v>
      </c>
      <c r="I7" s="33">
        <f t="shared" si="2"/>
        <v>68.333333333333329</v>
      </c>
      <c r="J7" s="34">
        <f>'Market prices'!I47*C7</f>
        <v>100.2673796791444</v>
      </c>
      <c r="K7" s="35">
        <f t="shared" si="3"/>
        <v>38.095238095238095</v>
      </c>
      <c r="L7" s="36">
        <f t="shared" si="4"/>
        <v>62.172141583906303</v>
      </c>
      <c r="M7" s="5">
        <f t="shared" si="5"/>
        <v>1.7825311942959001</v>
      </c>
      <c r="N7" s="5">
        <f t="shared" si="6"/>
        <v>13.666666666666666</v>
      </c>
      <c r="O7" s="5">
        <f t="shared" si="7"/>
        <v>12.434428316781261</v>
      </c>
      <c r="P7" s="4"/>
      <c r="R7" s="10" t="s">
        <v>86</v>
      </c>
    </row>
    <row r="8" spans="1:26">
      <c r="A8" s="14">
        <v>46113</v>
      </c>
      <c r="B8" s="4" t="s">
        <v>30</v>
      </c>
      <c r="C8" s="4">
        <v>11</v>
      </c>
      <c r="D8" s="26">
        <f>'Market prices'!I19*C8</f>
        <v>25.287356321839077</v>
      </c>
      <c r="E8" s="27">
        <v>0</v>
      </c>
      <c r="F8" s="31">
        <f t="shared" si="0"/>
        <v>25.287356321839077</v>
      </c>
      <c r="G8" s="32">
        <f>'Daily Sales Record'!L6</f>
        <v>44</v>
      </c>
      <c r="H8" s="32">
        <f t="shared" si="1"/>
        <v>36.666666666666664</v>
      </c>
      <c r="I8" s="33">
        <f t="shared" si="2"/>
        <v>7.3333333333333357</v>
      </c>
      <c r="J8" s="34">
        <f>'Market prices'!I51*C8</f>
        <v>337.16475095785438</v>
      </c>
      <c r="K8" s="35">
        <f t="shared" si="3"/>
        <v>83.80952380952381</v>
      </c>
      <c r="L8" s="36">
        <f t="shared" si="4"/>
        <v>253.35522714833058</v>
      </c>
      <c r="M8" s="5">
        <f t="shared" si="5"/>
        <v>2.2988505747126435</v>
      </c>
      <c r="N8" s="5">
        <f t="shared" si="6"/>
        <v>0.66666666666666685</v>
      </c>
      <c r="O8" s="5">
        <f t="shared" si="7"/>
        <v>23.032293377120961</v>
      </c>
      <c r="P8" s="4"/>
      <c r="R8" s="10" t="s">
        <v>87</v>
      </c>
    </row>
    <row r="9" spans="1:26">
      <c r="A9" s="14">
        <v>46113</v>
      </c>
      <c r="B9" s="4" t="s">
        <v>23</v>
      </c>
      <c r="C9" s="4">
        <v>3</v>
      </c>
      <c r="D9" s="26">
        <f>'Market prices'!I9*C9</f>
        <v>110.29411764705883</v>
      </c>
      <c r="E9" s="27">
        <v>0</v>
      </c>
      <c r="F9" s="31">
        <f t="shared" si="0"/>
        <v>110.29411764705883</v>
      </c>
      <c r="G9" s="32">
        <f>'Daily Sales Record'!L7</f>
        <v>140</v>
      </c>
      <c r="H9" s="32">
        <f t="shared" si="1"/>
        <v>10</v>
      </c>
      <c r="I9" s="33">
        <f t="shared" si="2"/>
        <v>130</v>
      </c>
      <c r="J9" s="34">
        <f>'Market prices'!I42*C9</f>
        <v>220.58823529411765</v>
      </c>
      <c r="K9" s="35">
        <f t="shared" si="3"/>
        <v>22.857142857142858</v>
      </c>
      <c r="L9" s="36">
        <f t="shared" si="4"/>
        <v>197.73109243697479</v>
      </c>
      <c r="M9" s="5">
        <f t="shared" si="5"/>
        <v>36.764705882352942</v>
      </c>
      <c r="N9" s="5">
        <f t="shared" si="6"/>
        <v>43.333333333333336</v>
      </c>
      <c r="O9" s="5">
        <f t="shared" si="7"/>
        <v>65.910364145658264</v>
      </c>
      <c r="P9" s="4"/>
    </row>
    <row r="10" spans="1:26">
      <c r="A10" s="77" t="s">
        <v>88</v>
      </c>
      <c r="B10" s="73"/>
      <c r="C10" s="74"/>
      <c r="D10" s="37"/>
      <c r="E10" s="37"/>
      <c r="F10" s="38">
        <f>SUM(F6:F9)</f>
        <v>229.96421541046288</v>
      </c>
      <c r="G10" s="39"/>
      <c r="H10" s="39"/>
      <c r="I10" s="38">
        <f>SUM(I6:I9)</f>
        <v>374</v>
      </c>
      <c r="J10" s="40"/>
      <c r="K10" s="41"/>
      <c r="L10" s="42">
        <f>SUM(L6:L9)</f>
        <v>668.96053687128733</v>
      </c>
      <c r="M10" s="40"/>
      <c r="N10" s="40"/>
      <c r="O10" s="40"/>
      <c r="P10" s="41"/>
    </row>
    <row r="11" spans="1:26">
      <c r="A11" s="16">
        <v>46122</v>
      </c>
      <c r="B11" s="7" t="s">
        <v>23</v>
      </c>
      <c r="C11" s="7">
        <v>1</v>
      </c>
      <c r="D11" s="43">
        <f>'Daily Sales Record'!L8</f>
        <v>10</v>
      </c>
      <c r="E11" s="43">
        <v>0</v>
      </c>
      <c r="F11" s="33">
        <f>D11-E11</f>
        <v>10</v>
      </c>
      <c r="G11" s="28">
        <f>'Market prices'!I25*C11</f>
        <v>51.470588235294116</v>
      </c>
      <c r="H11" s="28">
        <v>70</v>
      </c>
      <c r="I11" s="44">
        <f>G11-H11</f>
        <v>-18.529411764705884</v>
      </c>
      <c r="J11" s="34">
        <f>'Market prices'!I42*C11</f>
        <v>73.529411764705884</v>
      </c>
      <c r="K11" s="35">
        <f>(C11*160)/(SUM(C11))</f>
        <v>160</v>
      </c>
      <c r="L11" s="36">
        <f>J11-K11</f>
        <v>-86.470588235294116</v>
      </c>
      <c r="M11" s="5">
        <f>F11/C11</f>
        <v>10</v>
      </c>
      <c r="N11" s="5">
        <f>I11/C11</f>
        <v>-18.529411764705884</v>
      </c>
      <c r="O11" s="5">
        <f>L11/C11</f>
        <v>-86.470588235294116</v>
      </c>
      <c r="P11" s="4"/>
    </row>
    <row r="12" spans="1:26">
      <c r="A12" s="77" t="s">
        <v>88</v>
      </c>
      <c r="B12" s="73"/>
      <c r="C12" s="74"/>
      <c r="D12" s="37"/>
      <c r="E12" s="37"/>
      <c r="F12" s="38">
        <f>SUM(F11)</f>
        <v>10</v>
      </c>
      <c r="G12" s="39"/>
      <c r="H12" s="39"/>
      <c r="I12" s="38">
        <f>SUM(I11)</f>
        <v>-18.529411764705884</v>
      </c>
      <c r="J12" s="40"/>
      <c r="K12" s="41"/>
      <c r="L12" s="42">
        <f>SUM(L11)</f>
        <v>-86.470588235294116</v>
      </c>
      <c r="M12" s="40"/>
      <c r="N12" s="40"/>
      <c r="O12" s="40"/>
      <c r="P12" s="41"/>
    </row>
    <row r="13" spans="1:26">
      <c r="A13" s="16">
        <v>46125</v>
      </c>
      <c r="B13" s="7" t="s">
        <v>29</v>
      </c>
      <c r="C13" s="7">
        <v>3</v>
      </c>
      <c r="D13" s="43">
        <f>'Daily Sales Record'!L9</f>
        <v>8</v>
      </c>
      <c r="E13" s="43">
        <v>0</v>
      </c>
      <c r="F13" s="33">
        <f t="shared" ref="F13:F16" si="8">D13-E13</f>
        <v>8</v>
      </c>
      <c r="G13" s="28">
        <f>'Market prices'!I30*C13</f>
        <v>38.502673796791449</v>
      </c>
      <c r="H13" s="28">
        <f t="shared" ref="H13:H16" si="9">(C13*70)/(SUM($C$13:$C$16))</f>
        <v>18.103448275862071</v>
      </c>
      <c r="I13" s="44">
        <f t="shared" ref="I13:I16" si="10">G13-H13</f>
        <v>20.399225520929377</v>
      </c>
      <c r="J13" s="34">
        <f>'Market prices'!I47*C13</f>
        <v>60.160427807486634</v>
      </c>
      <c r="K13" s="35">
        <f t="shared" ref="K13:K16" si="11">(C13*160)/(SUM($C$13:$C$16))</f>
        <v>41.379310344827587</v>
      </c>
      <c r="L13" s="36">
        <f t="shared" ref="L13:L16" si="12">J13-K13</f>
        <v>18.781117462659047</v>
      </c>
      <c r="M13" s="5">
        <f t="shared" ref="M13:M16" si="13">F13/C13</f>
        <v>2.6666666666666665</v>
      </c>
      <c r="N13" s="5">
        <f t="shared" ref="N13:N16" si="14">I13/C13</f>
        <v>6.7997418403097925</v>
      </c>
      <c r="O13" s="5">
        <f t="shared" ref="O13:O16" si="15">L13/C13</f>
        <v>6.260372487553016</v>
      </c>
      <c r="P13" s="4"/>
    </row>
    <row r="14" spans="1:26">
      <c r="A14" s="16">
        <v>46125</v>
      </c>
      <c r="B14" s="7" t="s">
        <v>30</v>
      </c>
      <c r="C14" s="7">
        <v>5</v>
      </c>
      <c r="D14" s="43">
        <f>'Daily Sales Record'!L10</f>
        <v>10</v>
      </c>
      <c r="E14" s="43">
        <v>0</v>
      </c>
      <c r="F14" s="33">
        <f t="shared" si="8"/>
        <v>10</v>
      </c>
      <c r="G14" s="28">
        <f>'Market prices'!I35*C14</f>
        <v>30.651340996168578</v>
      </c>
      <c r="H14" s="28">
        <f t="shared" si="9"/>
        <v>30.172413793103448</v>
      </c>
      <c r="I14" s="44">
        <f t="shared" si="10"/>
        <v>0.4789272030651297</v>
      </c>
      <c r="J14" s="34">
        <f>'Market prices'!I51*C14</f>
        <v>153.2567049808429</v>
      </c>
      <c r="K14" s="35">
        <f t="shared" si="11"/>
        <v>68.965517241379317</v>
      </c>
      <c r="L14" s="36">
        <f t="shared" si="12"/>
        <v>84.291187739463581</v>
      </c>
      <c r="M14" s="5">
        <f t="shared" si="13"/>
        <v>2</v>
      </c>
      <c r="N14" s="5">
        <f t="shared" si="14"/>
        <v>9.5785440613025935E-2</v>
      </c>
      <c r="O14" s="5">
        <f t="shared" si="15"/>
        <v>16.858237547892717</v>
      </c>
      <c r="P14" s="4"/>
    </row>
    <row r="15" spans="1:26">
      <c r="A15" s="16">
        <v>46125</v>
      </c>
      <c r="B15" s="7" t="s">
        <v>23</v>
      </c>
      <c r="C15" s="7">
        <v>2.6</v>
      </c>
      <c r="D15" s="43">
        <f>'Daily Sales Record'!L11</f>
        <v>30</v>
      </c>
      <c r="E15" s="43">
        <v>0</v>
      </c>
      <c r="F15" s="33">
        <f t="shared" si="8"/>
        <v>30</v>
      </c>
      <c r="G15" s="28">
        <f>'Market prices'!I25*C15</f>
        <v>133.8235294117647</v>
      </c>
      <c r="H15" s="28">
        <f t="shared" si="9"/>
        <v>15.689655172413794</v>
      </c>
      <c r="I15" s="44">
        <f t="shared" si="10"/>
        <v>118.1338742393509</v>
      </c>
      <c r="J15" s="34">
        <f>'Market prices'!I42*C15</f>
        <v>191.1764705882353</v>
      </c>
      <c r="K15" s="35">
        <f t="shared" si="11"/>
        <v>35.862068965517246</v>
      </c>
      <c r="L15" s="36">
        <f t="shared" si="12"/>
        <v>155.31440162271807</v>
      </c>
      <c r="M15" s="5">
        <f t="shared" si="13"/>
        <v>11.538461538461538</v>
      </c>
      <c r="N15" s="5">
        <f t="shared" si="14"/>
        <v>45.436105476673426</v>
      </c>
      <c r="O15" s="5">
        <f t="shared" si="15"/>
        <v>59.736308316430026</v>
      </c>
      <c r="P15" s="4"/>
    </row>
    <row r="16" spans="1:26">
      <c r="A16" s="45">
        <v>46125</v>
      </c>
      <c r="B16" s="7" t="s">
        <v>64</v>
      </c>
      <c r="C16" s="7">
        <v>1</v>
      </c>
      <c r="D16" s="43">
        <v>15</v>
      </c>
      <c r="E16" s="43">
        <v>0</v>
      </c>
      <c r="F16" s="33">
        <f t="shared" si="8"/>
        <v>15</v>
      </c>
      <c r="G16" s="28">
        <f>'Market prices'!I26*C16</f>
        <v>102.33918128654972</v>
      </c>
      <c r="H16" s="28">
        <f t="shared" si="9"/>
        <v>6.0344827586206895</v>
      </c>
      <c r="I16" s="44">
        <f t="shared" si="10"/>
        <v>96.304698527929034</v>
      </c>
      <c r="J16" s="34">
        <f>'Market prices'!I43*C16</f>
        <v>85.470085470085465</v>
      </c>
      <c r="K16" s="35">
        <f t="shared" si="11"/>
        <v>13.793103448275863</v>
      </c>
      <c r="L16" s="36">
        <f t="shared" si="12"/>
        <v>71.676982021809607</v>
      </c>
      <c r="M16" s="5">
        <f t="shared" si="13"/>
        <v>15</v>
      </c>
      <c r="N16" s="5">
        <f t="shared" si="14"/>
        <v>96.304698527929034</v>
      </c>
      <c r="O16" s="5">
        <f t="shared" si="15"/>
        <v>71.676982021809607</v>
      </c>
      <c r="P16" s="4"/>
    </row>
    <row r="17" spans="1:16">
      <c r="A17" s="88" t="s">
        <v>88</v>
      </c>
      <c r="B17" s="73"/>
      <c r="C17" s="74"/>
      <c r="D17" s="46"/>
      <c r="E17" s="46"/>
      <c r="F17" s="47">
        <f>SUM(F13:F16)</f>
        <v>63</v>
      </c>
      <c r="G17" s="48"/>
      <c r="H17" s="48"/>
      <c r="I17" s="47">
        <f>SUM(I13:I16)</f>
        <v>235.31672549127444</v>
      </c>
      <c r="J17" s="49"/>
      <c r="K17" s="50"/>
      <c r="L17" s="42">
        <f>SUM(L13:L16)</f>
        <v>330.06368884665028</v>
      </c>
      <c r="M17" s="49"/>
      <c r="N17" s="49"/>
      <c r="O17" s="40"/>
      <c r="P17" s="50"/>
    </row>
    <row r="18" spans="1:16">
      <c r="A18" s="16">
        <v>46132</v>
      </c>
      <c r="B18" s="7" t="s">
        <v>29</v>
      </c>
      <c r="C18" s="7">
        <v>3</v>
      </c>
      <c r="D18" s="43">
        <f>'Daily Sales Record'!L12</f>
        <v>10</v>
      </c>
      <c r="E18" s="43">
        <v>0</v>
      </c>
      <c r="F18" s="33">
        <f t="shared" ref="F18:F21" si="16">D18-E18</f>
        <v>10</v>
      </c>
      <c r="G18" s="28">
        <f>'Market prices'!I30*C18</f>
        <v>38.502673796791449</v>
      </c>
      <c r="H18" s="28">
        <f t="shared" ref="H18:H21" si="17">(C18*70)/(SUM($C$18:$C$21))</f>
        <v>24.705882352941178</v>
      </c>
      <c r="I18" s="44">
        <f t="shared" ref="I18:I21" si="18">G18-H18</f>
        <v>13.796791443850271</v>
      </c>
      <c r="J18" s="34">
        <f>'Market prices'!I47*C18</f>
        <v>60.160427807486634</v>
      </c>
      <c r="K18" s="35">
        <f t="shared" ref="K18:K21" si="19">(C18*160)/(SUM($C$18:$C$21))</f>
        <v>56.470588235294116</v>
      </c>
      <c r="L18" s="36">
        <f t="shared" ref="L18:L21" si="20">J18-K18</f>
        <v>3.6898395721925183</v>
      </c>
      <c r="M18" s="5">
        <f t="shared" ref="M18:M21" si="21">F18/C18</f>
        <v>3.3333333333333335</v>
      </c>
      <c r="N18" s="5">
        <f t="shared" ref="N18:N21" si="22">I18/C18</f>
        <v>4.598930481283424</v>
      </c>
      <c r="O18" s="5">
        <f t="shared" ref="O18:O21" si="23">L18/C18</f>
        <v>1.2299465240641727</v>
      </c>
      <c r="P18" s="4"/>
    </row>
    <row r="19" spans="1:16">
      <c r="A19" s="16">
        <v>46132</v>
      </c>
      <c r="B19" s="7" t="s">
        <v>30</v>
      </c>
      <c r="C19" s="7">
        <v>4</v>
      </c>
      <c r="D19" s="43">
        <f>'Daily Sales Record'!L13</f>
        <v>6</v>
      </c>
      <c r="E19" s="43">
        <v>0</v>
      </c>
      <c r="F19" s="33">
        <f t="shared" si="16"/>
        <v>6</v>
      </c>
      <c r="G19" s="28">
        <f>'Market prices'!I35*C19</f>
        <v>24.521072796934863</v>
      </c>
      <c r="H19" s="28">
        <f t="shared" si="17"/>
        <v>32.941176470588232</v>
      </c>
      <c r="I19" s="44">
        <f t="shared" si="18"/>
        <v>-8.4201036736533688</v>
      </c>
      <c r="J19" s="34">
        <f>'Market prices'!I51*C19</f>
        <v>122.60536398467433</v>
      </c>
      <c r="K19" s="35">
        <f t="shared" si="19"/>
        <v>75.294117647058826</v>
      </c>
      <c r="L19" s="36">
        <f t="shared" si="20"/>
        <v>47.311246337615501</v>
      </c>
      <c r="M19" s="5">
        <f t="shared" si="21"/>
        <v>1.5</v>
      </c>
      <c r="N19" s="5">
        <f t="shared" si="22"/>
        <v>-2.1050259184133422</v>
      </c>
      <c r="O19" s="5">
        <f t="shared" si="23"/>
        <v>11.827811584403875</v>
      </c>
      <c r="P19" s="4"/>
    </row>
    <row r="20" spans="1:16">
      <c r="A20" s="16">
        <v>46132</v>
      </c>
      <c r="B20" s="7" t="s">
        <v>23</v>
      </c>
      <c r="C20" s="7">
        <v>0.5</v>
      </c>
      <c r="D20" s="43">
        <f>'Daily Sales Record'!L14</f>
        <v>10</v>
      </c>
      <c r="E20" s="43">
        <v>0</v>
      </c>
      <c r="F20" s="33">
        <f t="shared" si="16"/>
        <v>10</v>
      </c>
      <c r="G20" s="28">
        <f>'Market prices'!I25*C20</f>
        <v>25.735294117647058</v>
      </c>
      <c r="H20" s="28">
        <f t="shared" si="17"/>
        <v>4.117647058823529</v>
      </c>
      <c r="I20" s="44">
        <f t="shared" si="18"/>
        <v>21.617647058823529</v>
      </c>
      <c r="J20" s="34">
        <f>'Market prices'!I42*C20</f>
        <v>36.764705882352942</v>
      </c>
      <c r="K20" s="35">
        <f t="shared" si="19"/>
        <v>9.4117647058823533</v>
      </c>
      <c r="L20" s="36">
        <f t="shared" si="20"/>
        <v>27.352941176470587</v>
      </c>
      <c r="M20" s="5">
        <f t="shared" si="21"/>
        <v>20</v>
      </c>
      <c r="N20" s="5">
        <f t="shared" si="22"/>
        <v>43.235294117647058</v>
      </c>
      <c r="O20" s="5">
        <f t="shared" si="23"/>
        <v>54.705882352941174</v>
      </c>
      <c r="P20" s="4"/>
    </row>
    <row r="21" spans="1:16">
      <c r="A21" s="16">
        <v>46132</v>
      </c>
      <c r="B21" s="7" t="s">
        <v>64</v>
      </c>
      <c r="C21" s="7">
        <v>1</v>
      </c>
      <c r="D21" s="43">
        <f>'Daily Sales Record'!L15</f>
        <v>10</v>
      </c>
      <c r="E21" s="43">
        <v>0</v>
      </c>
      <c r="F21" s="33">
        <f t="shared" si="16"/>
        <v>10</v>
      </c>
      <c r="G21" s="28">
        <f>'Market prices'!I26*C21</f>
        <v>102.33918128654972</v>
      </c>
      <c r="H21" s="28">
        <f t="shared" si="17"/>
        <v>8.235294117647058</v>
      </c>
      <c r="I21" s="44">
        <f t="shared" si="18"/>
        <v>94.103887168902659</v>
      </c>
      <c r="J21" s="34">
        <f>'Market prices'!I43*C21</f>
        <v>85.470085470085465</v>
      </c>
      <c r="K21" s="35">
        <f t="shared" si="19"/>
        <v>18.823529411764707</v>
      </c>
      <c r="L21" s="36">
        <f t="shared" si="20"/>
        <v>66.646556058320755</v>
      </c>
      <c r="M21" s="5">
        <f t="shared" si="21"/>
        <v>10</v>
      </c>
      <c r="N21" s="5">
        <f t="shared" si="22"/>
        <v>94.103887168902659</v>
      </c>
      <c r="O21" s="5">
        <f t="shared" si="23"/>
        <v>66.646556058320755</v>
      </c>
      <c r="P21" s="4"/>
    </row>
    <row r="22" spans="1:16">
      <c r="A22" s="77" t="s">
        <v>88</v>
      </c>
      <c r="B22" s="73"/>
      <c r="C22" s="74"/>
      <c r="D22" s="37"/>
      <c r="E22" s="37"/>
      <c r="F22" s="38">
        <f>SUM(F18:F21)</f>
        <v>36</v>
      </c>
      <c r="G22" s="39"/>
      <c r="H22" s="39"/>
      <c r="I22" s="38">
        <f>SUM(I18:I21)</f>
        <v>121.09822199792309</v>
      </c>
      <c r="J22" s="40"/>
      <c r="K22" s="41"/>
      <c r="L22" s="42">
        <f>SUM(L18:L21)</f>
        <v>145.00058314459937</v>
      </c>
      <c r="M22" s="40"/>
      <c r="N22" s="40"/>
      <c r="O22" s="40"/>
      <c r="P22" s="41"/>
    </row>
    <row r="23" spans="1:16">
      <c r="A23" s="14">
        <v>46140</v>
      </c>
      <c r="B23" s="4" t="s">
        <v>23</v>
      </c>
      <c r="C23" s="4">
        <v>1</v>
      </c>
      <c r="D23" s="43">
        <f>'Daily Sales Record'!L16</f>
        <v>15</v>
      </c>
      <c r="E23" s="43">
        <v>0</v>
      </c>
      <c r="F23" s="33">
        <f t="shared" ref="F23:F25" si="24">D23-E23</f>
        <v>15</v>
      </c>
      <c r="G23" s="28">
        <f>'Market prices'!I25*C23</f>
        <v>51.470588235294116</v>
      </c>
      <c r="H23" s="28">
        <f t="shared" ref="H23:H25" si="25">(C23*70)/(SUM($C$23:$C$25))</f>
        <v>17.5</v>
      </c>
      <c r="I23" s="44">
        <f t="shared" ref="I23:I25" si="26">G23-H23</f>
        <v>33.970588235294116</v>
      </c>
      <c r="J23" s="34">
        <f>'Market prices'!I42*C23</f>
        <v>73.529411764705884</v>
      </c>
      <c r="K23" s="35">
        <f t="shared" ref="K23:K25" si="27">(C23*160)/(SUM($C$23:$C$25))</f>
        <v>40</v>
      </c>
      <c r="L23" s="36">
        <f t="shared" ref="L23:L25" si="28">J23-K23</f>
        <v>33.529411764705884</v>
      </c>
      <c r="M23" s="5">
        <f t="shared" ref="M23:M25" si="29">F23/C23</f>
        <v>15</v>
      </c>
      <c r="N23" s="5">
        <f t="shared" ref="N23:N25" si="30">I23/C23</f>
        <v>33.970588235294116</v>
      </c>
      <c r="O23" s="5">
        <f t="shared" ref="O23:O25" si="31">L23/C23</f>
        <v>33.529411764705884</v>
      </c>
      <c r="P23" s="4"/>
    </row>
    <row r="24" spans="1:16">
      <c r="A24" s="14">
        <v>46140</v>
      </c>
      <c r="B24" s="4" t="s">
        <v>64</v>
      </c>
      <c r="C24" s="4">
        <v>0.5</v>
      </c>
      <c r="D24" s="43">
        <f>'Daily Sales Record'!L17</f>
        <v>10</v>
      </c>
      <c r="E24" s="43">
        <v>0</v>
      </c>
      <c r="F24" s="33">
        <f t="shared" si="24"/>
        <v>10</v>
      </c>
      <c r="G24" s="29">
        <f>'Market prices'!H26*C24</f>
        <v>92.10526315789474</v>
      </c>
      <c r="H24" s="28">
        <f t="shared" si="25"/>
        <v>8.75</v>
      </c>
      <c r="I24" s="44">
        <f t="shared" si="26"/>
        <v>83.35526315789474</v>
      </c>
      <c r="J24" s="34">
        <f>'Market prices'!I43*C24</f>
        <v>42.735042735042732</v>
      </c>
      <c r="K24" s="35">
        <f t="shared" si="27"/>
        <v>20</v>
      </c>
      <c r="L24" s="36">
        <f t="shared" si="28"/>
        <v>22.735042735042732</v>
      </c>
      <c r="M24" s="5">
        <f t="shared" si="29"/>
        <v>20</v>
      </c>
      <c r="N24" s="5">
        <f t="shared" si="30"/>
        <v>166.71052631578948</v>
      </c>
      <c r="O24" s="5">
        <f t="shared" si="31"/>
        <v>45.470085470085465</v>
      </c>
      <c r="P24" s="4"/>
    </row>
    <row r="25" spans="1:16">
      <c r="A25" s="14">
        <v>46140</v>
      </c>
      <c r="B25" s="4" t="s">
        <v>30</v>
      </c>
      <c r="C25" s="4">
        <v>2.5</v>
      </c>
      <c r="D25" s="43">
        <f>'Daily Sales Record'!L18</f>
        <v>15</v>
      </c>
      <c r="E25" s="43">
        <v>0</v>
      </c>
      <c r="F25" s="33">
        <f t="shared" si="24"/>
        <v>15</v>
      </c>
      <c r="G25" s="29">
        <f>'Market prices'!I35*C25</f>
        <v>15.325670498084289</v>
      </c>
      <c r="H25" s="28">
        <f t="shared" si="25"/>
        <v>43.75</v>
      </c>
      <c r="I25" s="44">
        <f t="shared" si="26"/>
        <v>-28.424329501915711</v>
      </c>
      <c r="J25" s="34">
        <f>'Market prices'!I51*C25</f>
        <v>76.628352490421449</v>
      </c>
      <c r="K25" s="35">
        <f t="shared" si="27"/>
        <v>100</v>
      </c>
      <c r="L25" s="36">
        <f t="shared" si="28"/>
        <v>-23.371647509578551</v>
      </c>
      <c r="M25" s="5">
        <f t="shared" si="29"/>
        <v>6</v>
      </c>
      <c r="N25" s="5">
        <f t="shared" si="30"/>
        <v>-11.369731800766285</v>
      </c>
      <c r="O25" s="5">
        <f t="shared" si="31"/>
        <v>-9.3486590038314201</v>
      </c>
      <c r="P25" s="4"/>
    </row>
    <row r="26" spans="1:16">
      <c r="A26" s="77" t="s">
        <v>88</v>
      </c>
      <c r="B26" s="73"/>
      <c r="C26" s="74"/>
      <c r="D26" s="37"/>
      <c r="E26" s="37"/>
      <c r="F26" s="38">
        <f>SUM(F23:F25)</f>
        <v>40</v>
      </c>
      <c r="G26" s="51"/>
      <c r="H26" s="39"/>
      <c r="I26" s="38">
        <f>SUM(I23:I25)</f>
        <v>88.901521891273148</v>
      </c>
      <c r="J26" s="40"/>
      <c r="K26" s="41"/>
      <c r="L26" s="42">
        <f>SUM(L23:L25)</f>
        <v>32.892806990170065</v>
      </c>
      <c r="M26" s="40"/>
      <c r="N26" s="40"/>
      <c r="O26" s="40"/>
      <c r="P26" s="41"/>
    </row>
    <row r="27" spans="1:16">
      <c r="A27" s="20">
        <v>46147</v>
      </c>
      <c r="B27" s="7" t="s">
        <v>30</v>
      </c>
      <c r="C27" s="7">
        <v>2</v>
      </c>
      <c r="D27" s="43">
        <f>'Daily Sales Record'!L19</f>
        <v>20</v>
      </c>
      <c r="E27" s="43">
        <v>0</v>
      </c>
      <c r="F27" s="33">
        <f>D27-E27</f>
        <v>20</v>
      </c>
      <c r="G27" s="29">
        <f>'Market prices'!I35*C27</f>
        <v>12.260536398467432</v>
      </c>
      <c r="H27" s="28">
        <v>70</v>
      </c>
      <c r="I27" s="44">
        <f>G27-H27</f>
        <v>-57.73946360153257</v>
      </c>
      <c r="J27" s="34">
        <f>'Market prices'!I51*C27</f>
        <v>61.302681992337163</v>
      </c>
      <c r="K27" s="35">
        <f>(C27*160)/(SUM(C27))</f>
        <v>160</v>
      </c>
      <c r="L27" s="36">
        <f>J27-K27</f>
        <v>-98.69731800766283</v>
      </c>
      <c r="M27" s="5">
        <f>F27/C27</f>
        <v>10</v>
      </c>
      <c r="N27" s="5">
        <f>I27/C27</f>
        <v>-28.869731800766285</v>
      </c>
      <c r="O27" s="5">
        <f>L27/C27</f>
        <v>-49.348659003831415</v>
      </c>
      <c r="P27" s="4"/>
    </row>
    <row r="28" spans="1:16">
      <c r="A28" s="77" t="s">
        <v>88</v>
      </c>
      <c r="B28" s="73"/>
      <c r="C28" s="74"/>
      <c r="D28" s="37"/>
      <c r="E28" s="37"/>
      <c r="F28" s="38">
        <f>SUM(F27)</f>
        <v>20</v>
      </c>
      <c r="G28" s="51"/>
      <c r="H28" s="39"/>
      <c r="I28" s="38">
        <f>SUM(I27)</f>
        <v>-57.73946360153257</v>
      </c>
      <c r="J28" s="40"/>
      <c r="K28" s="41"/>
      <c r="L28" s="42">
        <f>SUM(L27)</f>
        <v>-98.69731800766283</v>
      </c>
      <c r="M28" s="40"/>
      <c r="N28" s="40"/>
      <c r="O28" s="40"/>
      <c r="P28" s="41"/>
    </row>
    <row r="29" spans="1:16">
      <c r="A29" s="21">
        <v>46331</v>
      </c>
      <c r="B29" s="7" t="s">
        <v>23</v>
      </c>
      <c r="C29" s="7">
        <v>1.5</v>
      </c>
      <c r="D29" s="43">
        <f>'Daily Sales Record'!L20</f>
        <v>30</v>
      </c>
      <c r="E29" s="43">
        <v>0</v>
      </c>
      <c r="F29" s="33">
        <f t="shared" ref="F29:F31" si="32">D29-E29</f>
        <v>30</v>
      </c>
      <c r="G29" s="29">
        <f>'Market prices'!I25*C29</f>
        <v>77.205882352941174</v>
      </c>
      <c r="H29" s="28">
        <f t="shared" ref="H29:H31" si="33">(C29*70)/(SUM($C$29:$C$31))</f>
        <v>19.09090909090909</v>
      </c>
      <c r="I29" s="44">
        <f t="shared" ref="I29:I31" si="34">G29-H29</f>
        <v>58.11497326203208</v>
      </c>
      <c r="J29" s="34">
        <f>'Market prices'!I42*C29</f>
        <v>110.29411764705883</v>
      </c>
      <c r="K29" s="35">
        <f t="shared" ref="K29:K31" si="35">(C29*160)/(SUM($C$29:$C$31))</f>
        <v>43.636363636363633</v>
      </c>
      <c r="L29" s="36">
        <f t="shared" ref="L29:L31" si="36">J29-K29</f>
        <v>66.657754010695186</v>
      </c>
      <c r="M29" s="5">
        <f t="shared" ref="M29:M31" si="37">F29/C29</f>
        <v>20</v>
      </c>
      <c r="N29" s="5">
        <f t="shared" ref="N29:N31" si="38">I29/C29</f>
        <v>38.743315508021389</v>
      </c>
      <c r="O29" s="5">
        <f t="shared" ref="O29:O31" si="39">L29/C29</f>
        <v>44.438502673796791</v>
      </c>
      <c r="P29" s="4"/>
    </row>
    <row r="30" spans="1:16">
      <c r="A30" s="21">
        <v>46331</v>
      </c>
      <c r="B30" s="7" t="s">
        <v>30</v>
      </c>
      <c r="C30" s="7">
        <v>2</v>
      </c>
      <c r="D30" s="43">
        <f>'Daily Sales Record'!L21</f>
        <v>15</v>
      </c>
      <c r="E30" s="43">
        <v>0</v>
      </c>
      <c r="F30" s="33">
        <f t="shared" si="32"/>
        <v>15</v>
      </c>
      <c r="G30" s="29">
        <f>'Market prices'!I35*C30</f>
        <v>12.260536398467432</v>
      </c>
      <c r="H30" s="28">
        <f t="shared" si="33"/>
        <v>25.454545454545453</v>
      </c>
      <c r="I30" s="44">
        <f t="shared" si="34"/>
        <v>-13.194009056078022</v>
      </c>
      <c r="J30" s="34">
        <f>'Market prices'!I51*C30</f>
        <v>61.302681992337163</v>
      </c>
      <c r="K30" s="35">
        <f t="shared" si="35"/>
        <v>58.18181818181818</v>
      </c>
      <c r="L30" s="36">
        <f t="shared" si="36"/>
        <v>3.1208638105189834</v>
      </c>
      <c r="M30" s="5">
        <f t="shared" si="37"/>
        <v>7.5</v>
      </c>
      <c r="N30" s="5">
        <f t="shared" si="38"/>
        <v>-6.5970045280390108</v>
      </c>
      <c r="O30" s="5">
        <f t="shared" si="39"/>
        <v>1.5604319052594917</v>
      </c>
      <c r="P30" s="4"/>
    </row>
    <row r="31" spans="1:16">
      <c r="A31" s="21">
        <v>46331</v>
      </c>
      <c r="B31" s="7" t="s">
        <v>29</v>
      </c>
      <c r="C31" s="7">
        <v>2</v>
      </c>
      <c r="D31" s="43">
        <f>'Daily Sales Record'!L22</f>
        <v>15</v>
      </c>
      <c r="E31" s="43">
        <v>0</v>
      </c>
      <c r="F31" s="33">
        <f t="shared" si="32"/>
        <v>15</v>
      </c>
      <c r="G31" s="29">
        <f>'Market prices'!I30*C31</f>
        <v>25.668449197860966</v>
      </c>
      <c r="H31" s="28">
        <f t="shared" si="33"/>
        <v>25.454545454545453</v>
      </c>
      <c r="I31" s="44">
        <f t="shared" si="34"/>
        <v>0.21390374331551243</v>
      </c>
      <c r="J31" s="34">
        <f>'Market prices'!I47*C31</f>
        <v>40.106951871657756</v>
      </c>
      <c r="K31" s="35">
        <f t="shared" si="35"/>
        <v>58.18181818181818</v>
      </c>
      <c r="L31" s="36">
        <f t="shared" si="36"/>
        <v>-18.074866310160424</v>
      </c>
      <c r="M31" s="5">
        <f t="shared" si="37"/>
        <v>7.5</v>
      </c>
      <c r="N31" s="5">
        <f t="shared" si="38"/>
        <v>0.10695187165775621</v>
      </c>
      <c r="O31" s="5">
        <f t="shared" si="39"/>
        <v>-9.0374331550802118</v>
      </c>
      <c r="P31" s="4"/>
    </row>
    <row r="32" spans="1:16">
      <c r="A32" s="77" t="s">
        <v>88</v>
      </c>
      <c r="B32" s="73"/>
      <c r="C32" s="74"/>
      <c r="D32" s="52"/>
      <c r="E32" s="37"/>
      <c r="F32" s="38">
        <f>SUM(F29:F31)</f>
        <v>60</v>
      </c>
      <c r="G32" s="51"/>
      <c r="H32" s="39"/>
      <c r="I32" s="38">
        <f>SUM(I29:I31)</f>
        <v>45.134867949269569</v>
      </c>
      <c r="J32" s="40"/>
      <c r="K32" s="41"/>
      <c r="L32" s="42">
        <f>SUM(L29:L31)</f>
        <v>51.703751511053746</v>
      </c>
      <c r="M32" s="40"/>
      <c r="N32" s="40"/>
      <c r="O32" s="40"/>
      <c r="P32" s="41"/>
    </row>
    <row r="33" spans="1:16">
      <c r="A33" s="7" t="s">
        <v>72</v>
      </c>
      <c r="B33" s="7" t="s">
        <v>30</v>
      </c>
      <c r="C33" s="7">
        <v>5</v>
      </c>
      <c r="D33" s="53">
        <f>'Daily Sales Record'!L23</f>
        <v>50</v>
      </c>
      <c r="E33" s="43">
        <v>0</v>
      </c>
      <c r="F33" s="33">
        <f t="shared" ref="F33:F35" si="40">D33-E33</f>
        <v>50</v>
      </c>
      <c r="G33" s="29">
        <f>'Market prices'!I35*C33</f>
        <v>30.651340996168578</v>
      </c>
      <c r="H33" s="28">
        <f t="shared" ref="H33:H35" si="41">(C33*70)/(SUM($C$33:$C$35))</f>
        <v>28</v>
      </c>
      <c r="I33" s="44">
        <f t="shared" ref="I33:I35" si="42">G33-H33</f>
        <v>2.6513409961685781</v>
      </c>
      <c r="J33" s="34">
        <f>'Market prices'!I51*C33</f>
        <v>153.2567049808429</v>
      </c>
      <c r="K33" s="35">
        <f t="shared" ref="K33:K35" si="43">(C33*160)/(SUM($C$33:$C$35))</f>
        <v>64</v>
      </c>
      <c r="L33" s="36">
        <f t="shared" ref="L33:L35" si="44">J33-K33</f>
        <v>89.256704980842898</v>
      </c>
      <c r="M33" s="5">
        <f t="shared" ref="M33:M35" si="45">F33/C33</f>
        <v>10</v>
      </c>
      <c r="N33" s="5">
        <f t="shared" ref="N33:N35" si="46">I33/C33</f>
        <v>0.5302681992337156</v>
      </c>
      <c r="O33" s="5">
        <f t="shared" ref="O33:O35" si="47">L33/C33</f>
        <v>17.851340996168581</v>
      </c>
      <c r="P33" s="4"/>
    </row>
    <row r="34" spans="1:16">
      <c r="A34" s="7" t="s">
        <v>72</v>
      </c>
      <c r="B34" s="7" t="s">
        <v>29</v>
      </c>
      <c r="C34" s="7">
        <v>3.5</v>
      </c>
      <c r="D34" s="53">
        <f>'Daily Sales Record'!L24</f>
        <v>20</v>
      </c>
      <c r="E34" s="43">
        <v>0</v>
      </c>
      <c r="F34" s="33">
        <f t="shared" si="40"/>
        <v>20</v>
      </c>
      <c r="G34" s="29">
        <f>'Market prices'!I30*C34</f>
        <v>44.919786096256686</v>
      </c>
      <c r="H34" s="28">
        <f t="shared" si="41"/>
        <v>19.600000000000001</v>
      </c>
      <c r="I34" s="44">
        <f t="shared" si="42"/>
        <v>25.319786096256685</v>
      </c>
      <c r="J34" s="34">
        <f>'Market prices'!I47*C34</f>
        <v>70.18716577540107</v>
      </c>
      <c r="K34" s="35">
        <f t="shared" si="43"/>
        <v>44.8</v>
      </c>
      <c r="L34" s="36">
        <f t="shared" si="44"/>
        <v>25.387165775401073</v>
      </c>
      <c r="M34" s="5">
        <f t="shared" si="45"/>
        <v>5.7142857142857144</v>
      </c>
      <c r="N34" s="5">
        <f t="shared" si="46"/>
        <v>7.2342245989304814</v>
      </c>
      <c r="O34" s="5">
        <f t="shared" si="47"/>
        <v>7.2534759358288783</v>
      </c>
      <c r="P34" s="4"/>
    </row>
    <row r="35" spans="1:16">
      <c r="A35" s="7" t="s">
        <v>72</v>
      </c>
      <c r="B35" s="7" t="s">
        <v>23</v>
      </c>
      <c r="C35" s="7">
        <v>4</v>
      </c>
      <c r="D35" s="53">
        <f>'Daily Sales Record'!L25</f>
        <v>160</v>
      </c>
      <c r="E35" s="43">
        <v>0</v>
      </c>
      <c r="F35" s="33">
        <f t="shared" si="40"/>
        <v>160</v>
      </c>
      <c r="G35" s="29">
        <f>'Market prices'!I25*C35</f>
        <v>205.88235294117646</v>
      </c>
      <c r="H35" s="28">
        <f t="shared" si="41"/>
        <v>22.4</v>
      </c>
      <c r="I35" s="44">
        <f t="shared" si="42"/>
        <v>183.48235294117646</v>
      </c>
      <c r="J35" s="34">
        <f>'Market prices'!I42*C35</f>
        <v>294.11764705882354</v>
      </c>
      <c r="K35" s="35">
        <f t="shared" si="43"/>
        <v>51.2</v>
      </c>
      <c r="L35" s="36">
        <f t="shared" si="44"/>
        <v>242.91764705882355</v>
      </c>
      <c r="M35" s="5">
        <f t="shared" si="45"/>
        <v>40</v>
      </c>
      <c r="N35" s="5">
        <f t="shared" si="46"/>
        <v>45.870588235294115</v>
      </c>
      <c r="O35" s="5">
        <f t="shared" si="47"/>
        <v>60.729411764705887</v>
      </c>
      <c r="P35" s="4"/>
    </row>
    <row r="36" spans="1:16">
      <c r="A36" s="77" t="s">
        <v>88</v>
      </c>
      <c r="B36" s="73"/>
      <c r="C36" s="74"/>
      <c r="D36" s="52"/>
      <c r="E36" s="37"/>
      <c r="F36" s="47">
        <f>SUM(F33:F35)</f>
        <v>230</v>
      </c>
      <c r="G36" s="51"/>
      <c r="H36" s="51"/>
      <c r="I36" s="38">
        <f>SUM(I33:I35)</f>
        <v>211.45348003360172</v>
      </c>
      <c r="J36" s="41"/>
      <c r="K36" s="41"/>
      <c r="L36" s="42">
        <f>SUM(L33:L35)</f>
        <v>357.56151781506753</v>
      </c>
      <c r="M36" s="41"/>
      <c r="N36" s="41"/>
      <c r="O36" s="41"/>
      <c r="P36" s="41"/>
    </row>
    <row r="37" spans="1:16">
      <c r="A37" s="4"/>
      <c r="B37" s="4"/>
      <c r="C37" s="4"/>
      <c r="D37" s="13"/>
      <c r="E37" s="13"/>
      <c r="F37" s="13"/>
      <c r="G37" s="13"/>
      <c r="H37" s="13"/>
      <c r="I37" s="13"/>
      <c r="J37" s="4"/>
      <c r="K37" s="4"/>
      <c r="L37" s="4"/>
      <c r="M37" s="4"/>
      <c r="N37" s="4"/>
      <c r="O37" s="4"/>
      <c r="P37" s="4"/>
    </row>
    <row r="38" spans="1:16">
      <c r="A38" s="4"/>
      <c r="B38" s="4"/>
      <c r="C38" s="4"/>
      <c r="D38" s="13"/>
      <c r="E38" s="13"/>
      <c r="F38" s="13"/>
      <c r="G38" s="13"/>
      <c r="H38" s="13"/>
      <c r="I38" s="13"/>
      <c r="J38" s="4"/>
      <c r="K38" s="4"/>
      <c r="L38" s="4"/>
      <c r="M38" s="4"/>
      <c r="N38" s="4"/>
      <c r="O38" s="4"/>
      <c r="P38" s="4"/>
    </row>
    <row r="39" spans="1:16" ht="15.75" customHeight="1">
      <c r="A39" s="4"/>
      <c r="B39" s="4"/>
      <c r="C39" s="4"/>
      <c r="D39" s="13"/>
      <c r="E39" s="13"/>
      <c r="F39" s="13"/>
      <c r="G39" s="13"/>
      <c r="H39" s="13"/>
      <c r="I39" s="13"/>
      <c r="J39" s="4"/>
      <c r="K39" s="4"/>
      <c r="L39" s="4"/>
      <c r="M39" s="4"/>
      <c r="N39" s="4"/>
      <c r="O39" s="4"/>
      <c r="P39" s="4"/>
    </row>
    <row r="40" spans="1:16" ht="15.75" customHeight="1">
      <c r="A40" s="4"/>
      <c r="B40" s="4"/>
      <c r="C40" s="4"/>
      <c r="D40" s="13"/>
      <c r="E40" s="13"/>
      <c r="F40" s="13"/>
      <c r="G40" s="13"/>
      <c r="H40" s="13"/>
      <c r="I40" s="13"/>
      <c r="J40" s="4"/>
      <c r="K40" s="4"/>
      <c r="L40" s="4"/>
      <c r="M40" s="4"/>
      <c r="N40" s="4"/>
      <c r="O40" s="4"/>
      <c r="P40" s="4"/>
    </row>
    <row r="41" spans="1:16" ht="15.75" customHeight="1">
      <c r="A41" s="4"/>
      <c r="B41" s="4"/>
      <c r="C41" s="4"/>
      <c r="D41" s="4"/>
      <c r="E41" s="4"/>
      <c r="F41" s="4"/>
      <c r="G41" s="13"/>
      <c r="H41" s="13"/>
      <c r="I41" s="13"/>
      <c r="J41" s="4"/>
      <c r="K41" s="4"/>
      <c r="L41" s="4"/>
      <c r="M41" s="4"/>
      <c r="N41" s="4"/>
      <c r="O41" s="4"/>
      <c r="P41" s="4"/>
    </row>
    <row r="42" spans="1:16" ht="15.75" customHeight="1">
      <c r="A42" s="4"/>
      <c r="B42" s="4"/>
      <c r="C42" s="4"/>
      <c r="D42" s="4"/>
      <c r="E42" s="4"/>
      <c r="F42" s="4"/>
      <c r="G42" s="13"/>
      <c r="H42" s="13"/>
      <c r="I42" s="13"/>
      <c r="J42" s="4"/>
      <c r="K42" s="4"/>
      <c r="L42" s="4"/>
      <c r="M42" s="4"/>
      <c r="N42" s="4"/>
      <c r="O42" s="4"/>
      <c r="P42" s="4"/>
    </row>
    <row r="43" spans="1:16" ht="15.75" customHeight="1">
      <c r="A43" s="4"/>
      <c r="B43" s="4"/>
      <c r="C43" s="4"/>
      <c r="D43" s="4"/>
      <c r="E43" s="4"/>
      <c r="F43" s="4"/>
      <c r="G43" s="13"/>
      <c r="H43" s="13"/>
      <c r="I43" s="13"/>
      <c r="J43" s="4"/>
      <c r="K43" s="4"/>
      <c r="L43" s="4"/>
      <c r="M43" s="4"/>
      <c r="N43" s="4"/>
      <c r="O43" s="4"/>
      <c r="P43" s="4"/>
    </row>
    <row r="44" spans="1:16" ht="15.75" customHeight="1">
      <c r="A44" s="4"/>
      <c r="B44" s="4"/>
      <c r="C44" s="4"/>
      <c r="D44" s="4"/>
      <c r="E44" s="4"/>
      <c r="F44" s="4"/>
      <c r="G44" s="13"/>
      <c r="H44" s="13"/>
      <c r="I44" s="13"/>
      <c r="J44" s="4"/>
      <c r="K44" s="4"/>
      <c r="L44" s="4"/>
      <c r="M44" s="4"/>
      <c r="N44" s="4"/>
      <c r="O44" s="4"/>
      <c r="P44" s="4"/>
    </row>
    <row r="45" spans="1:16" ht="15.75" customHeight="1">
      <c r="A45" s="4"/>
      <c r="B45" s="4"/>
      <c r="C45" s="4"/>
      <c r="D45" s="4"/>
      <c r="E45" s="4"/>
      <c r="F45" s="4"/>
      <c r="G45" s="13"/>
      <c r="H45" s="13"/>
      <c r="I45" s="13"/>
      <c r="J45" s="4"/>
      <c r="K45" s="4"/>
      <c r="L45" s="4"/>
      <c r="M45" s="4"/>
      <c r="N45" s="4"/>
      <c r="O45" s="4"/>
      <c r="P45" s="4"/>
    </row>
    <row r="46" spans="1:16" ht="15.75" customHeight="1">
      <c r="A46" s="4"/>
      <c r="B46" s="4"/>
      <c r="C46" s="4"/>
      <c r="D46" s="4"/>
      <c r="E46" s="4"/>
      <c r="F46" s="4"/>
      <c r="G46" s="15"/>
      <c r="H46" s="4"/>
      <c r="I46" s="4"/>
      <c r="J46" s="4"/>
      <c r="K46" s="4"/>
      <c r="L46" s="4"/>
      <c r="M46" s="4"/>
      <c r="N46" s="4"/>
      <c r="O46" s="4"/>
      <c r="P46" s="4"/>
    </row>
    <row r="47" spans="1:16" ht="15.75" customHeight="1">
      <c r="A47" s="4"/>
      <c r="B47" s="4"/>
      <c r="C47" s="4"/>
      <c r="D47" s="4"/>
      <c r="E47" s="4"/>
      <c r="F47" s="4"/>
      <c r="G47" s="15"/>
      <c r="H47" s="4"/>
      <c r="I47" s="4"/>
      <c r="J47" s="4"/>
      <c r="K47" s="4"/>
      <c r="L47" s="4"/>
      <c r="M47" s="4"/>
      <c r="N47" s="4"/>
      <c r="O47" s="4"/>
      <c r="P47" s="4"/>
    </row>
    <row r="48" spans="1:16" ht="15.75" customHeight="1">
      <c r="A48" s="4"/>
      <c r="B48" s="4"/>
      <c r="C48" s="4"/>
      <c r="D48" s="4"/>
      <c r="E48" s="4"/>
      <c r="F48" s="4"/>
      <c r="G48" s="15"/>
      <c r="H48" s="4"/>
      <c r="I48" s="4"/>
      <c r="J48" s="4"/>
      <c r="K48" s="4"/>
      <c r="L48" s="4"/>
      <c r="M48" s="4"/>
      <c r="N48" s="4"/>
      <c r="O48" s="4"/>
      <c r="P48" s="4"/>
    </row>
    <row r="49" spans="1:16" ht="15.75" customHeight="1">
      <c r="A49" s="4"/>
      <c r="B49" s="4"/>
      <c r="C49" s="4"/>
      <c r="D49" s="4"/>
      <c r="E49" s="4"/>
      <c r="F49" s="4"/>
      <c r="G49" s="15"/>
      <c r="H49" s="4"/>
      <c r="I49" s="4"/>
      <c r="J49" s="4"/>
      <c r="K49" s="4"/>
      <c r="L49" s="4"/>
      <c r="M49" s="4"/>
      <c r="N49" s="4"/>
      <c r="O49" s="4"/>
      <c r="P49" s="4"/>
    </row>
    <row r="50" spans="1:16" ht="15.75" customHeight="1">
      <c r="A50" s="4"/>
      <c r="B50" s="4"/>
      <c r="C50" s="4"/>
      <c r="D50" s="4"/>
      <c r="E50" s="4"/>
      <c r="F50" s="4"/>
      <c r="G50" s="15"/>
      <c r="H50" s="4"/>
      <c r="I50" s="4"/>
      <c r="J50" s="4"/>
      <c r="K50" s="4"/>
      <c r="L50" s="4"/>
      <c r="M50" s="4"/>
      <c r="N50" s="4"/>
      <c r="O50" s="4"/>
      <c r="P50" s="4"/>
    </row>
    <row r="51" spans="1:16" ht="15.75" customHeight="1">
      <c r="A51" s="4"/>
      <c r="B51" s="4"/>
      <c r="C51" s="4"/>
      <c r="D51" s="4"/>
      <c r="E51" s="4"/>
      <c r="F51" s="4"/>
      <c r="G51" s="15"/>
      <c r="H51" s="4"/>
      <c r="I51" s="4"/>
      <c r="J51" s="4"/>
      <c r="K51" s="4"/>
      <c r="L51" s="4"/>
      <c r="M51" s="4"/>
      <c r="N51" s="4"/>
      <c r="O51" s="4"/>
      <c r="P51" s="4"/>
    </row>
    <row r="52" spans="1:16" ht="15.75" customHeight="1">
      <c r="A52" s="4"/>
      <c r="B52" s="4"/>
      <c r="C52" s="4"/>
      <c r="D52" s="4"/>
      <c r="E52" s="4"/>
      <c r="F52" s="4"/>
      <c r="G52" s="15"/>
      <c r="H52" s="4"/>
      <c r="I52" s="4"/>
      <c r="J52" s="4"/>
      <c r="K52" s="4"/>
      <c r="L52" s="4"/>
      <c r="M52" s="4"/>
      <c r="N52" s="4"/>
      <c r="O52" s="4"/>
      <c r="P52" s="4"/>
    </row>
    <row r="53" spans="1:16" ht="15.75" customHeight="1">
      <c r="A53" s="4"/>
      <c r="B53" s="4"/>
      <c r="C53" s="4"/>
      <c r="D53" s="4"/>
      <c r="E53" s="4"/>
      <c r="F53" s="4"/>
      <c r="G53" s="15"/>
      <c r="H53" s="4"/>
      <c r="I53" s="4"/>
      <c r="J53" s="4"/>
      <c r="K53" s="4"/>
      <c r="L53" s="4"/>
      <c r="M53" s="4"/>
      <c r="N53" s="4"/>
      <c r="O53" s="4"/>
      <c r="P53" s="4"/>
    </row>
    <row r="54" spans="1:16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1:16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spans="1:1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1:16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16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spans="1:16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spans="1:16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6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6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</row>
    <row r="63" spans="1:16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spans="1:16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</row>
    <row r="65" spans="1:12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spans="1:12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</row>
    <row r="67" spans="1:12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</row>
    <row r="68" spans="1:12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</row>
    <row r="69" spans="1:12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</row>
    <row r="70" spans="1:12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</row>
    <row r="71" spans="1:12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</row>
    <row r="72" spans="1:1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15">
    <mergeCell ref="A32:C32"/>
    <mergeCell ref="A36:C36"/>
    <mergeCell ref="A1:P1"/>
    <mergeCell ref="A3:C3"/>
    <mergeCell ref="D3:F3"/>
    <mergeCell ref="G3:I3"/>
    <mergeCell ref="J3:L3"/>
    <mergeCell ref="M3:P3"/>
    <mergeCell ref="A10:C10"/>
    <mergeCell ref="A2:P2"/>
    <mergeCell ref="A12:C12"/>
    <mergeCell ref="A17:C17"/>
    <mergeCell ref="A22:C22"/>
    <mergeCell ref="A26:C26"/>
    <mergeCell ref="A28:C28"/>
  </mergeCell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5.7109375" customWidth="1"/>
    <col min="2" max="2" width="27.85546875" customWidth="1"/>
    <col min="3" max="3" width="22.5703125" customWidth="1"/>
    <col min="4" max="4" width="12.42578125" customWidth="1"/>
    <col min="5" max="5" width="8.7109375" customWidth="1"/>
    <col min="6" max="6" width="13.5703125" customWidth="1"/>
    <col min="7" max="7" width="9.85546875" customWidth="1"/>
    <col min="8" max="26" width="8.7109375" customWidth="1"/>
  </cols>
  <sheetData>
    <row r="1" spans="1:26" ht="30" customHeight="1">
      <c r="A1" s="89" t="s">
        <v>89</v>
      </c>
      <c r="B1" s="90"/>
      <c r="C1" s="90"/>
      <c r="D1" s="90"/>
      <c r="E1" s="90"/>
      <c r="F1" s="90"/>
      <c r="G1" s="90"/>
      <c r="H1" s="9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54" t="s">
        <v>90</v>
      </c>
      <c r="B2" s="54"/>
      <c r="C2" s="54"/>
      <c r="D2" s="54"/>
      <c r="E2" s="54"/>
      <c r="F2" s="54"/>
      <c r="G2" s="54"/>
      <c r="H2" s="54"/>
    </row>
    <row r="3" spans="1:26" ht="15" customHeight="1">
      <c r="A3" s="55" t="s">
        <v>91</v>
      </c>
      <c r="B3" s="55" t="s">
        <v>92</v>
      </c>
      <c r="C3" s="55"/>
      <c r="D3" s="55"/>
      <c r="E3" s="55"/>
      <c r="F3" s="55"/>
      <c r="G3" s="55"/>
      <c r="H3" s="55"/>
    </row>
    <row r="4" spans="1:26" ht="15" customHeight="1">
      <c r="A4" s="55" t="s">
        <v>93</v>
      </c>
      <c r="B4" s="55" t="s">
        <v>94</v>
      </c>
      <c r="C4" s="55"/>
      <c r="D4" s="55"/>
      <c r="E4" s="55"/>
      <c r="F4" s="55"/>
      <c r="G4" s="55"/>
      <c r="H4" s="55"/>
    </row>
    <row r="5" spans="1:26" ht="15" customHeight="1">
      <c r="A5" s="56" t="s">
        <v>95</v>
      </c>
      <c r="B5" s="56" t="s">
        <v>96</v>
      </c>
      <c r="C5" s="56"/>
      <c r="D5" s="56"/>
      <c r="E5" s="56"/>
      <c r="F5" s="56"/>
      <c r="G5" s="56"/>
      <c r="H5" s="56"/>
    </row>
    <row r="6" spans="1:26">
      <c r="A6" s="57" t="s">
        <v>97</v>
      </c>
      <c r="B6" s="22" t="s">
        <v>98</v>
      </c>
      <c r="C6" s="22"/>
      <c r="D6" s="22"/>
      <c r="E6" s="22"/>
      <c r="F6" s="22"/>
      <c r="G6" s="58"/>
      <c r="H6" s="22"/>
    </row>
    <row r="7" spans="1:26">
      <c r="A7" s="57"/>
      <c r="B7" s="22"/>
      <c r="C7" s="22"/>
      <c r="D7" s="22"/>
      <c r="E7" s="22"/>
      <c r="F7" s="22"/>
      <c r="G7" s="58"/>
      <c r="H7" s="22"/>
    </row>
    <row r="8" spans="1:26">
      <c r="A8" s="57" t="s">
        <v>99</v>
      </c>
      <c r="B8" s="22"/>
      <c r="C8" s="22"/>
      <c r="D8" s="22"/>
      <c r="E8" s="22"/>
      <c r="F8" s="22"/>
      <c r="G8" s="58"/>
      <c r="H8" s="22"/>
    </row>
    <row r="9" spans="1:26">
      <c r="A9" s="57" t="s">
        <v>91</v>
      </c>
      <c r="B9" s="22" t="s">
        <v>100</v>
      </c>
      <c r="C9" s="22"/>
      <c r="D9" s="22"/>
      <c r="E9" s="22"/>
      <c r="F9" s="22"/>
      <c r="G9" s="58"/>
      <c r="H9" s="22"/>
    </row>
    <row r="10" spans="1:26">
      <c r="A10" s="57" t="s">
        <v>101</v>
      </c>
      <c r="B10" s="22"/>
      <c r="C10" s="22"/>
      <c r="D10" s="22"/>
      <c r="E10" s="22"/>
      <c r="F10" s="22"/>
      <c r="G10" s="58"/>
      <c r="H10" s="22"/>
    </row>
    <row r="11" spans="1:26">
      <c r="A11" s="57"/>
      <c r="B11" s="22"/>
      <c r="C11" s="22"/>
      <c r="D11" s="22"/>
      <c r="E11" s="22"/>
      <c r="F11" s="22"/>
      <c r="G11" s="58"/>
      <c r="H11" s="22"/>
    </row>
    <row r="12" spans="1:26">
      <c r="A12" s="57"/>
      <c r="B12" s="22"/>
      <c r="C12" s="22"/>
      <c r="D12" s="22"/>
      <c r="E12" s="22"/>
      <c r="F12" s="22"/>
      <c r="G12" s="58"/>
      <c r="H12" s="22"/>
    </row>
    <row r="13" spans="1:26">
      <c r="A13" s="57"/>
      <c r="B13" s="22"/>
      <c r="C13" s="22"/>
      <c r="D13" s="22"/>
      <c r="E13" s="22"/>
      <c r="F13" s="22"/>
      <c r="G13" s="58"/>
      <c r="H13" s="22"/>
    </row>
    <row r="14" spans="1:26">
      <c r="A14" s="57"/>
      <c r="B14" s="22"/>
      <c r="C14" s="22"/>
      <c r="D14" s="22"/>
      <c r="E14" s="22"/>
      <c r="F14" s="22"/>
      <c r="G14" s="58"/>
      <c r="H14" s="22"/>
    </row>
    <row r="15" spans="1:26">
      <c r="A15" s="57"/>
      <c r="B15" s="22"/>
      <c r="C15" s="22"/>
      <c r="D15" s="22"/>
      <c r="E15" s="22"/>
      <c r="F15" s="22"/>
      <c r="G15" s="58"/>
      <c r="H15" s="22"/>
    </row>
    <row r="16" spans="1:26">
      <c r="A16" s="57"/>
      <c r="B16" s="22"/>
      <c r="C16" s="22"/>
      <c r="D16" s="22"/>
      <c r="E16" s="22"/>
      <c r="F16" s="22"/>
      <c r="G16" s="58"/>
      <c r="H16" s="22"/>
    </row>
    <row r="17" spans="1:8">
      <c r="A17" s="92"/>
      <c r="B17" s="87"/>
      <c r="C17" s="87"/>
      <c r="D17" s="87"/>
      <c r="E17" s="87"/>
      <c r="F17" s="87"/>
      <c r="G17" s="87"/>
      <c r="H17" s="87"/>
    </row>
    <row r="18" spans="1:8" ht="42" customHeight="1">
      <c r="A18" s="59"/>
      <c r="B18" s="59"/>
      <c r="C18" s="59"/>
      <c r="D18" s="59"/>
      <c r="E18" s="59"/>
      <c r="F18" s="59"/>
      <c r="G18" s="59"/>
      <c r="H18" s="59"/>
    </row>
    <row r="19" spans="1:8">
      <c r="A19" s="57"/>
      <c r="B19" s="22"/>
      <c r="C19" s="22"/>
      <c r="D19" s="22"/>
      <c r="E19" s="22"/>
      <c r="F19" s="22"/>
      <c r="G19" s="58"/>
      <c r="H19" s="22"/>
    </row>
    <row r="20" spans="1:8">
      <c r="A20" s="57"/>
      <c r="B20" s="22"/>
      <c r="C20" s="22"/>
      <c r="D20" s="22"/>
      <c r="E20" s="22"/>
      <c r="F20" s="22"/>
      <c r="G20" s="58"/>
      <c r="H20" s="22"/>
    </row>
    <row r="21" spans="1:8" ht="15.75" customHeight="1">
      <c r="A21" s="57"/>
      <c r="B21" s="22"/>
      <c r="C21" s="22"/>
      <c r="D21" s="22"/>
      <c r="E21" s="22"/>
      <c r="F21" s="22"/>
      <c r="G21" s="58"/>
      <c r="H21" s="22"/>
    </row>
    <row r="22" spans="1:8" ht="15.75" customHeight="1">
      <c r="A22" s="22"/>
      <c r="B22" s="22"/>
      <c r="C22" s="22"/>
      <c r="D22" s="22"/>
      <c r="E22" s="22"/>
      <c r="F22" s="22"/>
      <c r="G22" s="58"/>
      <c r="H22" s="22"/>
    </row>
    <row r="23" spans="1:8" ht="15.75" customHeight="1">
      <c r="A23" s="22"/>
      <c r="B23" s="22"/>
      <c r="C23" s="22"/>
      <c r="D23" s="22"/>
      <c r="E23" s="22"/>
      <c r="F23" s="22"/>
      <c r="G23" s="58"/>
      <c r="H23" s="22"/>
    </row>
    <row r="24" spans="1:8" ht="15.75" customHeight="1">
      <c r="A24" s="22"/>
      <c r="B24" s="22"/>
      <c r="C24" s="22"/>
      <c r="D24" s="22"/>
      <c r="E24" s="22"/>
      <c r="F24" s="22"/>
      <c r="G24" s="58"/>
      <c r="H24" s="22"/>
    </row>
    <row r="25" spans="1:8" ht="15.75" customHeight="1">
      <c r="A25" s="22"/>
      <c r="B25" s="22"/>
      <c r="C25" s="22"/>
      <c r="D25" s="22"/>
      <c r="E25" s="22"/>
      <c r="F25" s="22"/>
      <c r="G25" s="58"/>
      <c r="H25" s="22"/>
    </row>
    <row r="26" spans="1:8" ht="15.75" customHeight="1">
      <c r="A26" s="22"/>
      <c r="B26" s="22"/>
      <c r="C26" s="22"/>
      <c r="D26" s="22"/>
      <c r="E26" s="22"/>
      <c r="F26" s="22"/>
      <c r="G26" s="58"/>
      <c r="H26" s="22"/>
    </row>
    <row r="27" spans="1:8" ht="15.75" customHeight="1">
      <c r="A27" s="22"/>
      <c r="B27" s="22"/>
      <c r="C27" s="22"/>
      <c r="D27" s="22"/>
      <c r="E27" s="22"/>
      <c r="F27" s="22"/>
      <c r="G27" s="58"/>
      <c r="H27" s="22"/>
    </row>
    <row r="28" spans="1:8" ht="15.75" customHeight="1">
      <c r="A28" s="22"/>
      <c r="B28" s="22"/>
      <c r="C28" s="22"/>
      <c r="D28" s="22"/>
      <c r="E28" s="22"/>
      <c r="F28" s="22"/>
      <c r="G28" s="58"/>
      <c r="H28" s="22"/>
    </row>
    <row r="29" spans="1:8" ht="15.75" customHeight="1">
      <c r="A29" s="22"/>
      <c r="B29" s="22"/>
      <c r="C29" s="22"/>
      <c r="D29" s="22"/>
      <c r="E29" s="22"/>
      <c r="F29" s="22"/>
      <c r="G29" s="58"/>
      <c r="H29" s="22"/>
    </row>
    <row r="30" spans="1:8" ht="15.75" customHeight="1">
      <c r="A30" s="22"/>
      <c r="B30" s="22"/>
      <c r="C30" s="22"/>
      <c r="D30" s="22"/>
      <c r="E30" s="22"/>
      <c r="F30" s="22"/>
      <c r="G30" s="58"/>
      <c r="H30" s="22"/>
    </row>
    <row r="31" spans="1:8" ht="15.75" customHeight="1">
      <c r="A31" s="22"/>
      <c r="B31" s="22"/>
      <c r="C31" s="22"/>
      <c r="D31" s="22"/>
      <c r="E31" s="22"/>
      <c r="F31" s="22"/>
      <c r="G31" s="58"/>
      <c r="H31" s="22"/>
    </row>
    <row r="32" spans="1:8" ht="15.75" customHeight="1">
      <c r="A32" s="22"/>
      <c r="B32" s="22"/>
      <c r="C32" s="22"/>
      <c r="D32" s="22"/>
      <c r="E32" s="22"/>
      <c r="F32" s="22"/>
      <c r="G32" s="58"/>
      <c r="H32" s="22"/>
    </row>
    <row r="33" spans="1:8" ht="15.75" customHeight="1">
      <c r="A33" s="22"/>
      <c r="B33" s="22"/>
      <c r="C33" s="22"/>
      <c r="D33" s="22"/>
      <c r="E33" s="22"/>
      <c r="F33" s="22"/>
      <c r="G33" s="58"/>
      <c r="H33" s="22"/>
    </row>
    <row r="34" spans="1:8" ht="15.75" customHeight="1">
      <c r="A34" s="22"/>
      <c r="B34" s="22"/>
      <c r="C34" s="22"/>
      <c r="D34" s="22"/>
      <c r="E34" s="22"/>
      <c r="F34" s="22"/>
      <c r="G34" s="58"/>
      <c r="H34" s="22"/>
    </row>
    <row r="35" spans="1:8" ht="15.75" customHeight="1">
      <c r="A35" s="22"/>
      <c r="B35" s="22"/>
      <c r="C35" s="22"/>
      <c r="D35" s="22"/>
      <c r="E35" s="22"/>
      <c r="F35" s="22"/>
      <c r="G35" s="58"/>
      <c r="H35" s="22"/>
    </row>
    <row r="36" spans="1:8" ht="15.75" customHeight="1">
      <c r="A36" s="22"/>
      <c r="B36" s="22"/>
      <c r="C36" s="22"/>
      <c r="D36" s="22"/>
      <c r="E36" s="22"/>
      <c r="F36" s="22"/>
      <c r="G36" s="58"/>
      <c r="H36" s="22"/>
    </row>
    <row r="37" spans="1:8" ht="15.75" customHeight="1">
      <c r="A37" s="22"/>
      <c r="B37" s="22"/>
      <c r="C37" s="22"/>
      <c r="D37" s="22"/>
      <c r="E37" s="22"/>
      <c r="F37" s="22"/>
      <c r="G37" s="58"/>
      <c r="H37" s="22"/>
    </row>
    <row r="38" spans="1:8" ht="15.75" customHeight="1">
      <c r="A38" s="22"/>
      <c r="B38" s="22"/>
      <c r="C38" s="22"/>
      <c r="D38" s="22"/>
      <c r="E38" s="22"/>
      <c r="F38" s="22"/>
      <c r="G38" s="22"/>
      <c r="H38" s="22"/>
    </row>
    <row r="39" spans="1:8" ht="15.75" customHeight="1">
      <c r="A39" s="22"/>
      <c r="B39" s="22"/>
      <c r="C39" s="22"/>
      <c r="D39" s="22"/>
      <c r="E39" s="22"/>
      <c r="F39" s="22"/>
      <c r="G39" s="22"/>
      <c r="H39" s="22"/>
    </row>
    <row r="40" spans="1:8" ht="15.75" customHeight="1">
      <c r="A40" s="22"/>
      <c r="B40" s="22"/>
      <c r="C40" s="22"/>
      <c r="D40" s="22"/>
      <c r="E40" s="22"/>
      <c r="F40" s="22"/>
      <c r="G40" s="22"/>
      <c r="H40" s="22"/>
    </row>
    <row r="41" spans="1:8" ht="15.75" customHeight="1">
      <c r="A41" s="22"/>
      <c r="B41" s="22"/>
      <c r="C41" s="22"/>
      <c r="D41" s="22"/>
      <c r="E41" s="22"/>
      <c r="F41" s="22"/>
      <c r="G41" s="22"/>
      <c r="H41" s="22"/>
    </row>
    <row r="42" spans="1:8" ht="15.75" customHeight="1">
      <c r="A42" s="22"/>
      <c r="B42" s="22"/>
      <c r="C42" s="22"/>
      <c r="D42" s="22"/>
      <c r="E42" s="22"/>
      <c r="F42" s="22"/>
      <c r="G42" s="22"/>
      <c r="H42" s="22"/>
    </row>
    <row r="43" spans="1:8" ht="15.75" customHeight="1">
      <c r="A43" s="22"/>
      <c r="B43" s="22"/>
      <c r="C43" s="22"/>
      <c r="D43" s="22"/>
      <c r="E43" s="22"/>
      <c r="F43" s="22"/>
      <c r="G43" s="22"/>
      <c r="H43" s="22"/>
    </row>
    <row r="44" spans="1:8" ht="15.75" customHeight="1">
      <c r="A44" s="22"/>
      <c r="B44" s="22"/>
      <c r="C44" s="22"/>
      <c r="D44" s="22"/>
      <c r="E44" s="22"/>
      <c r="F44" s="22"/>
      <c r="G44" s="22"/>
      <c r="H44" s="22"/>
    </row>
    <row r="45" spans="1:8" ht="15.75" customHeight="1">
      <c r="A45" s="22"/>
      <c r="B45" s="22"/>
      <c r="C45" s="22"/>
      <c r="D45" s="22"/>
      <c r="E45" s="22"/>
      <c r="F45" s="22"/>
      <c r="G45" s="22"/>
      <c r="H45" s="22"/>
    </row>
    <row r="46" spans="1:8" ht="15.75" customHeight="1">
      <c r="A46" s="22"/>
      <c r="B46" s="22"/>
      <c r="C46" s="22"/>
      <c r="D46" s="22"/>
      <c r="E46" s="22"/>
      <c r="F46" s="22"/>
      <c r="G46" s="22"/>
      <c r="H46" s="22"/>
    </row>
    <row r="47" spans="1:8" ht="15.75" customHeight="1">
      <c r="A47" s="22"/>
      <c r="B47" s="22"/>
      <c r="C47" s="22"/>
      <c r="D47" s="22"/>
      <c r="E47" s="22"/>
      <c r="F47" s="22"/>
      <c r="G47" s="22"/>
      <c r="H47" s="22"/>
    </row>
    <row r="48" spans="1:8" ht="15.75" customHeight="1">
      <c r="A48" s="22"/>
      <c r="B48" s="22"/>
      <c r="C48" s="22"/>
      <c r="D48" s="22"/>
      <c r="E48" s="22"/>
      <c r="F48" s="22"/>
      <c r="G48" s="22"/>
      <c r="H48" s="22"/>
    </row>
    <row r="49" spans="1:8" ht="15.75" customHeight="1">
      <c r="A49" s="22"/>
      <c r="B49" s="22"/>
      <c r="C49" s="22"/>
      <c r="D49" s="22"/>
      <c r="E49" s="22"/>
      <c r="F49" s="22"/>
      <c r="G49" s="22"/>
      <c r="H49" s="22"/>
    </row>
    <row r="50" spans="1:8" ht="15.75" customHeight="1">
      <c r="A50" s="22"/>
      <c r="B50" s="22"/>
      <c r="C50" s="22"/>
      <c r="D50" s="22"/>
      <c r="E50" s="22"/>
      <c r="F50" s="22"/>
      <c r="G50" s="22"/>
      <c r="H50" s="22"/>
    </row>
    <row r="51" spans="1:8" ht="15.75" customHeight="1">
      <c r="A51" s="22"/>
      <c r="B51" s="22"/>
      <c r="C51" s="22"/>
      <c r="D51" s="22"/>
      <c r="E51" s="22"/>
      <c r="F51" s="22"/>
      <c r="G51" s="22"/>
      <c r="H51" s="22"/>
    </row>
    <row r="52" spans="1:8" ht="15.75" customHeight="1">
      <c r="A52" s="22"/>
      <c r="B52" s="22"/>
      <c r="C52" s="22"/>
      <c r="D52" s="22"/>
      <c r="E52" s="22"/>
      <c r="F52" s="22"/>
      <c r="G52" s="22"/>
      <c r="H52" s="22"/>
    </row>
    <row r="53" spans="1:8" ht="15.75" customHeight="1">
      <c r="A53" s="22"/>
      <c r="B53" s="22"/>
      <c r="C53" s="22"/>
      <c r="D53" s="22"/>
      <c r="E53" s="22"/>
      <c r="F53" s="22"/>
      <c r="G53" s="22"/>
      <c r="H53" s="22"/>
    </row>
    <row r="54" spans="1:8" ht="15.75" customHeight="1">
      <c r="A54" s="22"/>
      <c r="B54" s="22"/>
      <c r="C54" s="22"/>
      <c r="D54" s="22"/>
      <c r="E54" s="22"/>
      <c r="F54" s="22"/>
      <c r="G54" s="22"/>
      <c r="H54" s="22"/>
    </row>
    <row r="55" spans="1:8" ht="15.75" customHeight="1">
      <c r="A55" s="22"/>
      <c r="B55" s="22"/>
      <c r="C55" s="22"/>
      <c r="D55" s="22"/>
      <c r="E55" s="22"/>
      <c r="F55" s="22"/>
      <c r="G55" s="22"/>
      <c r="H55" s="22"/>
    </row>
    <row r="56" spans="1:8" ht="15.75" customHeight="1">
      <c r="A56" s="22"/>
      <c r="B56" s="22"/>
      <c r="C56" s="22"/>
      <c r="D56" s="22"/>
      <c r="E56" s="22"/>
      <c r="F56" s="22"/>
      <c r="G56" s="22"/>
      <c r="H56" s="22"/>
    </row>
    <row r="57" spans="1:8" ht="15.75" customHeight="1"/>
    <row r="58" spans="1:8" ht="15.75" customHeight="1"/>
    <row r="59" spans="1:8" ht="15.75" customHeight="1"/>
    <row r="60" spans="1:8" ht="15.75" customHeight="1"/>
    <row r="61" spans="1:8" ht="15.75" customHeight="1"/>
    <row r="62" spans="1:8" ht="15.75" customHeight="1"/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7:H17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4"/>
  <sheetViews>
    <sheetView workbookViewId="0"/>
  </sheetViews>
  <sheetFormatPr defaultColWidth="14.42578125" defaultRowHeight="15" customHeight="1"/>
  <cols>
    <col min="1" max="1" width="15.7109375" customWidth="1"/>
    <col min="2" max="2" width="22.28515625" customWidth="1"/>
    <col min="3" max="3" width="22.5703125" customWidth="1"/>
    <col min="4" max="4" width="12.42578125" customWidth="1"/>
    <col min="5" max="5" width="8.7109375" customWidth="1"/>
    <col min="6" max="6" width="13.5703125" customWidth="1"/>
    <col min="7" max="7" width="15.140625" customWidth="1"/>
    <col min="8" max="26" width="8.7109375" customWidth="1"/>
  </cols>
  <sheetData>
    <row r="1" spans="1:26" ht="30" customHeight="1">
      <c r="A1" s="93" t="s">
        <v>102</v>
      </c>
      <c r="B1" s="73"/>
      <c r="C1" s="73"/>
      <c r="D1" s="73"/>
      <c r="E1" s="73"/>
      <c r="F1" s="73"/>
      <c r="G1" s="73"/>
      <c r="H1" s="7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75" t="s">
        <v>103</v>
      </c>
      <c r="B2" s="73"/>
      <c r="C2" s="73"/>
      <c r="D2" s="73"/>
      <c r="E2" s="73"/>
      <c r="F2" s="73"/>
      <c r="G2" s="73"/>
      <c r="H2" s="74"/>
    </row>
    <row r="3" spans="1:26" ht="29.25" customHeight="1">
      <c r="A3" s="94" t="s">
        <v>104</v>
      </c>
      <c r="B3" s="73"/>
      <c r="C3" s="73"/>
      <c r="D3" s="73"/>
      <c r="E3" s="73"/>
      <c r="F3" s="73"/>
      <c r="G3" s="73"/>
      <c r="H3" s="74"/>
    </row>
    <row r="4" spans="1:26" ht="29.25" customHeight="1">
      <c r="A4" s="95" t="s">
        <v>105</v>
      </c>
      <c r="B4" s="73"/>
      <c r="C4" s="73"/>
      <c r="D4" s="73"/>
      <c r="E4" s="73"/>
      <c r="F4" s="73"/>
      <c r="G4" s="73"/>
      <c r="H4" s="74"/>
    </row>
    <row r="5" spans="1:26" ht="42" customHeight="1">
      <c r="A5" s="2" t="s">
        <v>3</v>
      </c>
      <c r="B5" s="2" t="s">
        <v>4</v>
      </c>
      <c r="C5" s="2" t="s">
        <v>106</v>
      </c>
      <c r="D5" s="2" t="s">
        <v>107</v>
      </c>
      <c r="E5" s="2" t="s">
        <v>9</v>
      </c>
      <c r="F5" s="2" t="s">
        <v>108</v>
      </c>
      <c r="G5" s="2" t="s">
        <v>109</v>
      </c>
      <c r="H5" s="2" t="s">
        <v>11</v>
      </c>
    </row>
    <row r="6" spans="1:26">
      <c r="A6" s="14" t="s">
        <v>14</v>
      </c>
      <c r="B6" s="4" t="s">
        <v>15</v>
      </c>
      <c r="C6" s="7">
        <v>3</v>
      </c>
      <c r="D6" s="7">
        <v>0.221</v>
      </c>
      <c r="E6" s="6">
        <f t="shared" ref="E6:E22" si="0">C6/D6</f>
        <v>13.574660633484163</v>
      </c>
      <c r="F6" s="4">
        <f t="shared" ref="F6:F22" si="1">D6/C6</f>
        <v>7.3666666666666672E-2</v>
      </c>
      <c r="G6" s="60">
        <v>46208</v>
      </c>
      <c r="H6" s="4"/>
    </row>
    <row r="7" spans="1:26">
      <c r="A7" s="14" t="s">
        <v>14</v>
      </c>
      <c r="B7" s="4" t="s">
        <v>18</v>
      </c>
      <c r="C7" s="4">
        <v>5</v>
      </c>
      <c r="D7" s="4"/>
      <c r="E7" s="4" t="e">
        <f t="shared" si="0"/>
        <v>#DIV/0!</v>
      </c>
      <c r="F7" s="4">
        <f t="shared" si="1"/>
        <v>0</v>
      </c>
      <c r="G7" s="61"/>
      <c r="H7" s="4"/>
    </row>
    <row r="8" spans="1:26">
      <c r="A8" s="7" t="s">
        <v>14</v>
      </c>
      <c r="B8" s="7" t="s">
        <v>43</v>
      </c>
      <c r="C8" s="7">
        <v>3</v>
      </c>
      <c r="D8" s="7">
        <v>0.45300000000000001</v>
      </c>
      <c r="E8" s="6">
        <f t="shared" si="0"/>
        <v>6.6225165562913908</v>
      </c>
      <c r="F8" s="4">
        <f t="shared" si="1"/>
        <v>0.151</v>
      </c>
      <c r="G8" s="60">
        <v>46178</v>
      </c>
      <c r="H8" s="4"/>
    </row>
    <row r="9" spans="1:26">
      <c r="A9" s="14" t="s">
        <v>30</v>
      </c>
      <c r="B9" s="4" t="s">
        <v>15</v>
      </c>
      <c r="C9" s="4">
        <v>5</v>
      </c>
      <c r="D9" s="4"/>
      <c r="E9" s="4" t="e">
        <f t="shared" si="0"/>
        <v>#DIV/0!</v>
      </c>
      <c r="F9" s="4">
        <f t="shared" si="1"/>
        <v>0</v>
      </c>
      <c r="G9" s="61"/>
      <c r="H9" s="4"/>
    </row>
    <row r="10" spans="1:26">
      <c r="A10" s="14" t="s">
        <v>30</v>
      </c>
      <c r="B10" s="4" t="s">
        <v>18</v>
      </c>
      <c r="C10" s="7">
        <v>4</v>
      </c>
      <c r="D10" s="7">
        <v>0.435</v>
      </c>
      <c r="E10" s="5">
        <f t="shared" si="0"/>
        <v>9.1954022988505741</v>
      </c>
      <c r="F10" s="4">
        <f t="shared" si="1"/>
        <v>0.10875</v>
      </c>
      <c r="G10" s="60">
        <v>46208</v>
      </c>
      <c r="H10" s="4"/>
    </row>
    <row r="11" spans="1:26">
      <c r="A11" s="14" t="s">
        <v>30</v>
      </c>
      <c r="B11" s="4" t="s">
        <v>43</v>
      </c>
      <c r="C11" s="7">
        <v>5</v>
      </c>
      <c r="D11" s="4"/>
      <c r="E11" s="4" t="e">
        <f t="shared" si="0"/>
        <v>#DIV/0!</v>
      </c>
      <c r="F11" s="4">
        <f t="shared" si="1"/>
        <v>0</v>
      </c>
      <c r="G11" s="61"/>
      <c r="H11" s="4"/>
    </row>
    <row r="12" spans="1:26">
      <c r="A12" s="14" t="s">
        <v>29</v>
      </c>
      <c r="B12" s="4" t="s">
        <v>15</v>
      </c>
      <c r="C12" s="4">
        <v>4</v>
      </c>
      <c r="D12" s="4">
        <v>8.5999999999999993E-2</v>
      </c>
      <c r="E12" s="6">
        <f t="shared" si="0"/>
        <v>46.511627906976749</v>
      </c>
      <c r="F12" s="4">
        <f t="shared" si="1"/>
        <v>2.1499999999999998E-2</v>
      </c>
      <c r="G12" s="60">
        <v>46147</v>
      </c>
      <c r="H12" s="4"/>
    </row>
    <row r="13" spans="1:26">
      <c r="A13" s="14" t="s">
        <v>29</v>
      </c>
      <c r="B13" s="4" t="s">
        <v>18</v>
      </c>
      <c r="C13" s="4">
        <v>3</v>
      </c>
      <c r="D13" s="4">
        <v>0.187</v>
      </c>
      <c r="E13" s="6">
        <f t="shared" si="0"/>
        <v>16.042780748663102</v>
      </c>
      <c r="F13" s="62">
        <f t="shared" si="1"/>
        <v>6.2333333333333331E-2</v>
      </c>
      <c r="G13" s="60">
        <v>46147</v>
      </c>
      <c r="H13" s="4"/>
      <c r="J13" s="63">
        <f>5000/187</f>
        <v>26.737967914438503</v>
      </c>
    </row>
    <row r="14" spans="1:26">
      <c r="A14" s="14" t="s">
        <v>29</v>
      </c>
      <c r="B14" s="4" t="s">
        <v>43</v>
      </c>
      <c r="C14" s="4">
        <v>5</v>
      </c>
      <c r="D14" s="4"/>
      <c r="E14" s="4" t="e">
        <f t="shared" si="0"/>
        <v>#DIV/0!</v>
      </c>
      <c r="F14" s="4">
        <f t="shared" si="1"/>
        <v>0</v>
      </c>
      <c r="G14" s="61"/>
      <c r="H14" s="4"/>
    </row>
    <row r="15" spans="1:26">
      <c r="A15" s="14" t="s">
        <v>28</v>
      </c>
      <c r="B15" s="4" t="s">
        <v>15</v>
      </c>
      <c r="C15" s="4">
        <v>5</v>
      </c>
      <c r="D15" s="4"/>
      <c r="E15" s="4" t="e">
        <f t="shared" si="0"/>
        <v>#DIV/0!</v>
      </c>
      <c r="F15" s="4">
        <f t="shared" si="1"/>
        <v>0</v>
      </c>
      <c r="G15" s="61"/>
      <c r="H15" s="4"/>
    </row>
    <row r="16" spans="1:26">
      <c r="A16" s="14" t="s">
        <v>28</v>
      </c>
      <c r="B16" s="4" t="s">
        <v>18</v>
      </c>
      <c r="C16" s="7">
        <v>3</v>
      </c>
      <c r="D16" s="7">
        <v>0.42599999999999999</v>
      </c>
      <c r="E16" s="6">
        <f t="shared" si="0"/>
        <v>7.042253521126761</v>
      </c>
      <c r="F16" s="4">
        <f t="shared" si="1"/>
        <v>0.14199999999999999</v>
      </c>
      <c r="G16" s="60">
        <v>46208</v>
      </c>
      <c r="H16" s="4"/>
    </row>
    <row r="17" spans="1:12">
      <c r="A17" s="14" t="s">
        <v>19</v>
      </c>
      <c r="B17" s="4" t="s">
        <v>22</v>
      </c>
      <c r="C17" s="4">
        <v>4</v>
      </c>
      <c r="D17" s="4">
        <v>6.3E-2</v>
      </c>
      <c r="E17" s="6">
        <f t="shared" si="0"/>
        <v>63.492063492063494</v>
      </c>
      <c r="F17" s="4">
        <f t="shared" si="1"/>
        <v>1.575E-2</v>
      </c>
      <c r="G17" s="60">
        <v>46147</v>
      </c>
      <c r="H17" s="4"/>
      <c r="L17" s="10">
        <f>1000/136</f>
        <v>7.3529411764705879</v>
      </c>
    </row>
    <row r="18" spans="1:12">
      <c r="A18" s="14" t="s">
        <v>110</v>
      </c>
      <c r="B18" s="4" t="s">
        <v>15</v>
      </c>
      <c r="C18" s="4">
        <v>5</v>
      </c>
      <c r="D18" s="4"/>
      <c r="E18" s="4" t="e">
        <f t="shared" si="0"/>
        <v>#DIV/0!</v>
      </c>
      <c r="F18" s="4">
        <f t="shared" si="1"/>
        <v>0</v>
      </c>
      <c r="G18" s="61"/>
      <c r="H18" s="4"/>
      <c r="L18" s="10">
        <f>3000/136</f>
        <v>22.058823529411764</v>
      </c>
    </row>
    <row r="19" spans="1:12">
      <c r="A19" s="14" t="s">
        <v>110</v>
      </c>
      <c r="B19" s="4" t="s">
        <v>18</v>
      </c>
      <c r="C19" s="7">
        <v>3</v>
      </c>
      <c r="D19" s="7">
        <v>0.36599999999999999</v>
      </c>
      <c r="E19" s="6">
        <f t="shared" si="0"/>
        <v>8.1967213114754092</v>
      </c>
      <c r="F19" s="4">
        <f t="shared" si="1"/>
        <v>0.122</v>
      </c>
      <c r="G19" s="60">
        <v>46208</v>
      </c>
      <c r="H19" s="4"/>
      <c r="L19" s="10">
        <f>2600/136</f>
        <v>19.117647058823529</v>
      </c>
    </row>
    <row r="20" spans="1:12">
      <c r="A20" s="64" t="s">
        <v>110</v>
      </c>
      <c r="B20" s="64" t="s">
        <v>43</v>
      </c>
      <c r="C20" s="65">
        <v>2</v>
      </c>
      <c r="D20" s="66">
        <v>0.29299999999999998</v>
      </c>
      <c r="E20" s="6">
        <f t="shared" si="0"/>
        <v>6.8259385665529013</v>
      </c>
      <c r="F20" s="4">
        <f t="shared" si="1"/>
        <v>0.14649999999999999</v>
      </c>
      <c r="G20" s="60">
        <v>46178</v>
      </c>
      <c r="H20" s="67"/>
    </row>
    <row r="21" spans="1:12">
      <c r="A21" s="68" t="s">
        <v>42</v>
      </c>
      <c r="B21" s="68" t="s">
        <v>43</v>
      </c>
      <c r="C21" s="65">
        <v>2</v>
      </c>
      <c r="D21" s="69">
        <f>188/1000</f>
        <v>0.188</v>
      </c>
      <c r="E21" s="69">
        <f t="shared" si="0"/>
        <v>10.638297872340425</v>
      </c>
      <c r="F21" s="69">
        <f t="shared" si="1"/>
        <v>9.4E-2</v>
      </c>
      <c r="G21" s="60">
        <v>46208</v>
      </c>
      <c r="H21" s="67"/>
    </row>
    <row r="22" spans="1:12">
      <c r="A22" s="64" t="s">
        <v>42</v>
      </c>
      <c r="B22" s="64" t="s">
        <v>18</v>
      </c>
      <c r="C22" s="65">
        <v>2</v>
      </c>
      <c r="D22" s="65">
        <v>0.1</v>
      </c>
      <c r="E22" s="69">
        <f t="shared" si="0"/>
        <v>20</v>
      </c>
      <c r="F22" s="69">
        <f t="shared" si="1"/>
        <v>0.05</v>
      </c>
      <c r="G22" s="60">
        <v>46208</v>
      </c>
      <c r="H22" s="67"/>
    </row>
    <row r="23" spans="1:12">
      <c r="A23" s="96" t="s">
        <v>111</v>
      </c>
      <c r="B23" s="73"/>
      <c r="C23" s="73"/>
      <c r="D23" s="73"/>
      <c r="E23" s="73"/>
      <c r="F23" s="73"/>
      <c r="G23" s="73"/>
      <c r="H23" s="74"/>
    </row>
    <row r="24" spans="1:12" ht="42" customHeight="1">
      <c r="A24" s="70" t="s">
        <v>3</v>
      </c>
      <c r="B24" s="70" t="s">
        <v>112</v>
      </c>
      <c r="C24" s="70" t="s">
        <v>106</v>
      </c>
      <c r="D24" s="70" t="s">
        <v>107</v>
      </c>
      <c r="E24" s="70" t="s">
        <v>113</v>
      </c>
      <c r="F24" s="70" t="s">
        <v>114</v>
      </c>
      <c r="G24" s="70" t="s">
        <v>11</v>
      </c>
      <c r="H24" s="70"/>
    </row>
    <row r="25" spans="1:12" ht="15.75" customHeight="1">
      <c r="A25" s="14" t="s">
        <v>115</v>
      </c>
      <c r="B25" s="4" t="s">
        <v>33</v>
      </c>
      <c r="C25" s="4">
        <v>1</v>
      </c>
      <c r="D25" s="7">
        <v>0.5</v>
      </c>
      <c r="E25" s="4">
        <f t="shared" ref="E25:E28" si="2">C25/D25</f>
        <v>2</v>
      </c>
      <c r="F25" s="60">
        <v>46208</v>
      </c>
      <c r="G25" s="15"/>
      <c r="H25" s="4"/>
    </row>
    <row r="26" spans="1:12" ht="15.75" customHeight="1">
      <c r="A26" s="71" t="s">
        <v>23</v>
      </c>
      <c r="B26" s="4" t="s">
        <v>24</v>
      </c>
      <c r="C26" s="4">
        <v>1</v>
      </c>
      <c r="D26" s="4">
        <v>0.13600000000000001</v>
      </c>
      <c r="E26" s="6">
        <f t="shared" si="2"/>
        <v>7.3529411764705879</v>
      </c>
      <c r="F26" s="60">
        <v>46147</v>
      </c>
      <c r="G26" s="7"/>
      <c r="H26" s="4"/>
    </row>
    <row r="27" spans="1:12" ht="15.75" customHeight="1">
      <c r="A27" s="14" t="s">
        <v>116</v>
      </c>
      <c r="B27" s="7" t="s">
        <v>117</v>
      </c>
      <c r="C27" s="7">
        <v>7</v>
      </c>
      <c r="D27" s="7">
        <v>3.7999999999999999E-2</v>
      </c>
      <c r="E27" s="6">
        <f t="shared" si="2"/>
        <v>184.21052631578948</v>
      </c>
      <c r="F27" s="60">
        <v>46178</v>
      </c>
      <c r="G27" s="15"/>
      <c r="H27" s="4"/>
    </row>
    <row r="28" spans="1:12" ht="15.75" customHeight="1">
      <c r="A28" s="14" t="s">
        <v>116</v>
      </c>
      <c r="B28" s="7" t="s">
        <v>24</v>
      </c>
      <c r="C28" s="7">
        <v>1</v>
      </c>
      <c r="D28" s="7">
        <v>0.11700000000000001</v>
      </c>
      <c r="E28" s="6">
        <f t="shared" si="2"/>
        <v>8.5470085470085468</v>
      </c>
      <c r="F28" s="60">
        <v>46178</v>
      </c>
      <c r="G28" s="15"/>
      <c r="H28" s="4"/>
    </row>
    <row r="29" spans="1:12" ht="15.75" customHeight="1">
      <c r="A29" s="22"/>
      <c r="B29" s="22"/>
      <c r="C29" s="22"/>
      <c r="D29" s="22"/>
      <c r="E29" s="22"/>
      <c r="F29" s="22"/>
      <c r="G29" s="58"/>
      <c r="H29" s="22"/>
    </row>
    <row r="30" spans="1:12" ht="15.75" customHeight="1">
      <c r="A30" s="22"/>
      <c r="B30" s="22"/>
      <c r="C30" s="22"/>
      <c r="D30" s="22"/>
      <c r="E30" s="22"/>
      <c r="F30" s="22"/>
      <c r="G30" s="58"/>
      <c r="H30" s="22"/>
    </row>
    <row r="31" spans="1:12" ht="15.75" customHeight="1">
      <c r="A31" s="22"/>
      <c r="B31" s="22"/>
      <c r="C31" s="22"/>
      <c r="D31" s="22"/>
      <c r="E31" s="22"/>
      <c r="F31" s="22"/>
      <c r="G31" s="58"/>
      <c r="H31" s="22"/>
    </row>
    <row r="32" spans="1:12" ht="15.75" customHeight="1">
      <c r="A32" s="22"/>
      <c r="B32" s="22"/>
      <c r="C32" s="22"/>
      <c r="D32" s="22"/>
      <c r="E32" s="22"/>
      <c r="F32" s="22"/>
      <c r="G32" s="58"/>
      <c r="H32" s="22"/>
    </row>
    <row r="33" spans="1:8" ht="15.75" customHeight="1">
      <c r="A33" s="22"/>
      <c r="B33" s="22"/>
      <c r="C33" s="22"/>
      <c r="D33" s="22"/>
      <c r="E33" s="22"/>
      <c r="F33" s="22"/>
      <c r="G33" s="58"/>
      <c r="H33" s="22"/>
    </row>
    <row r="34" spans="1:8" ht="15.75" customHeight="1">
      <c r="A34" s="22"/>
      <c r="B34" s="22"/>
      <c r="C34" s="22"/>
      <c r="D34" s="22"/>
      <c r="E34" s="22"/>
      <c r="F34" s="22"/>
      <c r="G34" s="58"/>
      <c r="H34" s="22"/>
    </row>
    <row r="35" spans="1:8" ht="15.75" customHeight="1">
      <c r="A35" s="22"/>
      <c r="B35" s="22"/>
      <c r="C35" s="22"/>
      <c r="D35" s="22"/>
      <c r="E35" s="22"/>
      <c r="F35" s="22"/>
      <c r="G35" s="58"/>
      <c r="H35" s="22"/>
    </row>
    <row r="36" spans="1:8" ht="15.75" customHeight="1">
      <c r="A36" s="22"/>
      <c r="B36" s="22"/>
      <c r="C36" s="22"/>
      <c r="D36" s="22"/>
      <c r="E36" s="22"/>
      <c r="F36" s="22"/>
      <c r="G36" s="58"/>
      <c r="H36" s="22"/>
    </row>
    <row r="37" spans="1:8" ht="15.75" customHeight="1">
      <c r="A37" s="22"/>
      <c r="B37" s="22"/>
      <c r="C37" s="22"/>
      <c r="D37" s="22"/>
      <c r="E37" s="22"/>
      <c r="F37" s="22"/>
      <c r="G37" s="58"/>
      <c r="H37" s="22"/>
    </row>
    <row r="38" spans="1:8" ht="15.75" customHeight="1">
      <c r="A38" s="22"/>
      <c r="B38" s="22"/>
      <c r="C38" s="22"/>
      <c r="D38" s="22"/>
      <c r="E38" s="22"/>
      <c r="F38" s="22"/>
      <c r="G38" s="58"/>
      <c r="H38" s="22"/>
    </row>
    <row r="39" spans="1:8" ht="15.75" customHeight="1">
      <c r="A39" s="22"/>
      <c r="B39" s="22"/>
      <c r="C39" s="22"/>
      <c r="D39" s="22"/>
      <c r="E39" s="22"/>
      <c r="F39" s="22"/>
      <c r="G39" s="58"/>
      <c r="H39" s="22"/>
    </row>
    <row r="40" spans="1:8" ht="15.75" customHeight="1">
      <c r="A40" s="22"/>
      <c r="B40" s="22"/>
      <c r="C40" s="22"/>
      <c r="D40" s="22"/>
      <c r="E40" s="22"/>
      <c r="F40" s="22"/>
      <c r="G40" s="58"/>
      <c r="H40" s="22"/>
    </row>
    <row r="41" spans="1:8" ht="15.75" customHeight="1">
      <c r="A41" s="22"/>
      <c r="B41" s="22"/>
      <c r="C41" s="22"/>
      <c r="D41" s="22"/>
      <c r="E41" s="22"/>
      <c r="F41" s="22"/>
      <c r="G41" s="58"/>
      <c r="H41" s="22"/>
    </row>
    <row r="42" spans="1:8" ht="15.75" customHeight="1">
      <c r="A42" s="22"/>
      <c r="B42" s="22"/>
      <c r="C42" s="22"/>
      <c r="D42" s="22"/>
      <c r="E42" s="22"/>
      <c r="F42" s="22"/>
      <c r="G42" s="58"/>
      <c r="H42" s="22"/>
    </row>
    <row r="43" spans="1:8" ht="15.75" customHeight="1">
      <c r="A43" s="22"/>
      <c r="B43" s="22"/>
      <c r="C43" s="22"/>
      <c r="D43" s="22"/>
      <c r="E43" s="22"/>
      <c r="F43" s="22"/>
      <c r="G43" s="58"/>
      <c r="H43" s="22"/>
    </row>
    <row r="44" spans="1:8" ht="15.75" customHeight="1">
      <c r="A44" s="22"/>
      <c r="B44" s="22"/>
      <c r="C44" s="22"/>
      <c r="D44" s="22"/>
      <c r="E44" s="22"/>
      <c r="F44" s="22"/>
      <c r="G44" s="22"/>
      <c r="H44" s="22"/>
    </row>
    <row r="45" spans="1:8" ht="15.75" customHeight="1">
      <c r="A45" s="22"/>
      <c r="B45" s="22"/>
      <c r="C45" s="22"/>
      <c r="D45" s="22"/>
      <c r="E45" s="22"/>
      <c r="F45" s="22"/>
      <c r="G45" s="22"/>
      <c r="H45" s="22"/>
    </row>
    <row r="46" spans="1:8" ht="15.75" customHeight="1">
      <c r="A46" s="22"/>
      <c r="B46" s="22"/>
      <c r="C46" s="22"/>
      <c r="D46" s="22"/>
      <c r="E46" s="22"/>
      <c r="F46" s="22"/>
      <c r="G46" s="22"/>
      <c r="H46" s="22"/>
    </row>
    <row r="47" spans="1:8" ht="15.75" customHeight="1">
      <c r="A47" s="22"/>
      <c r="B47" s="22"/>
      <c r="C47" s="22"/>
      <c r="D47" s="22"/>
      <c r="E47" s="22"/>
      <c r="F47" s="22"/>
      <c r="G47" s="22"/>
      <c r="H47" s="22"/>
    </row>
    <row r="48" spans="1:8" ht="15.75" customHeight="1">
      <c r="A48" s="22"/>
      <c r="B48" s="22"/>
      <c r="C48" s="22"/>
      <c r="D48" s="22"/>
      <c r="E48" s="22"/>
      <c r="F48" s="22"/>
      <c r="G48" s="22"/>
      <c r="H48" s="22"/>
    </row>
    <row r="49" spans="1:8" ht="15.75" customHeight="1">
      <c r="A49" s="22"/>
      <c r="B49" s="22"/>
      <c r="C49" s="22"/>
      <c r="D49" s="22"/>
      <c r="E49" s="22"/>
      <c r="F49" s="22"/>
      <c r="G49" s="22"/>
      <c r="H49" s="22"/>
    </row>
    <row r="50" spans="1:8" ht="15.75" customHeight="1">
      <c r="A50" s="22"/>
      <c r="B50" s="22"/>
      <c r="C50" s="22"/>
      <c r="D50" s="22"/>
      <c r="E50" s="22"/>
      <c r="F50" s="22"/>
      <c r="G50" s="22"/>
      <c r="H50" s="22"/>
    </row>
    <row r="51" spans="1:8" ht="15.75" customHeight="1">
      <c r="A51" s="22"/>
      <c r="B51" s="22"/>
      <c r="C51" s="22"/>
      <c r="D51" s="22"/>
      <c r="E51" s="22"/>
      <c r="F51" s="22"/>
      <c r="G51" s="22"/>
      <c r="H51" s="22"/>
    </row>
    <row r="52" spans="1:8" ht="15.75" customHeight="1">
      <c r="A52" s="22"/>
      <c r="B52" s="22"/>
      <c r="C52" s="22"/>
      <c r="D52" s="22"/>
      <c r="E52" s="22"/>
      <c r="F52" s="22"/>
      <c r="G52" s="22"/>
      <c r="H52" s="22"/>
    </row>
    <row r="53" spans="1:8" ht="15.75" customHeight="1">
      <c r="A53" s="22"/>
      <c r="B53" s="22"/>
      <c r="C53" s="22"/>
      <c r="D53" s="22"/>
      <c r="E53" s="22"/>
      <c r="F53" s="22"/>
      <c r="G53" s="22"/>
      <c r="H53" s="22"/>
    </row>
    <row r="54" spans="1:8" ht="15.75" customHeight="1">
      <c r="A54" s="22"/>
      <c r="B54" s="22"/>
      <c r="C54" s="22"/>
      <c r="D54" s="22"/>
      <c r="E54" s="22"/>
      <c r="F54" s="22"/>
      <c r="G54" s="22"/>
      <c r="H54" s="22"/>
    </row>
    <row r="55" spans="1:8" ht="15.75" customHeight="1">
      <c r="A55" s="22"/>
      <c r="B55" s="22"/>
      <c r="C55" s="22"/>
      <c r="D55" s="22"/>
      <c r="E55" s="22"/>
      <c r="F55" s="22"/>
      <c r="G55" s="22"/>
      <c r="H55" s="22"/>
    </row>
    <row r="56" spans="1:8" ht="15.75" customHeight="1">
      <c r="A56" s="22"/>
      <c r="B56" s="22"/>
      <c r="C56" s="22"/>
      <c r="D56" s="22"/>
      <c r="E56" s="22"/>
      <c r="F56" s="22"/>
      <c r="G56" s="22"/>
      <c r="H56" s="22"/>
    </row>
    <row r="57" spans="1:8" ht="15.75" customHeight="1">
      <c r="A57" s="22"/>
      <c r="B57" s="22"/>
      <c r="C57" s="22"/>
      <c r="D57" s="22"/>
      <c r="E57" s="22"/>
      <c r="F57" s="22"/>
      <c r="G57" s="22"/>
      <c r="H57" s="22"/>
    </row>
    <row r="58" spans="1:8" ht="15.75" customHeight="1">
      <c r="A58" s="22"/>
      <c r="B58" s="22"/>
      <c r="C58" s="22"/>
      <c r="D58" s="22"/>
      <c r="E58" s="22"/>
      <c r="F58" s="22"/>
      <c r="G58" s="22"/>
      <c r="H58" s="22"/>
    </row>
    <row r="59" spans="1:8" ht="15.75" customHeight="1">
      <c r="A59" s="22"/>
      <c r="B59" s="22"/>
      <c r="C59" s="22"/>
      <c r="D59" s="22"/>
      <c r="E59" s="22"/>
      <c r="F59" s="22"/>
      <c r="G59" s="22"/>
      <c r="H59" s="22"/>
    </row>
    <row r="60" spans="1:8" ht="15.75" customHeight="1">
      <c r="A60" s="22"/>
      <c r="B60" s="22"/>
      <c r="C60" s="22"/>
      <c r="D60" s="22"/>
      <c r="E60" s="22"/>
      <c r="F60" s="22"/>
      <c r="G60" s="22"/>
      <c r="H60" s="22"/>
    </row>
    <row r="61" spans="1:8" ht="15.75" customHeight="1">
      <c r="A61" s="22"/>
      <c r="B61" s="22"/>
      <c r="C61" s="22"/>
      <c r="D61" s="22"/>
      <c r="E61" s="22"/>
      <c r="F61" s="22"/>
      <c r="G61" s="22"/>
      <c r="H61" s="22"/>
    </row>
    <row r="62" spans="1:8" ht="15.75" customHeight="1">
      <c r="A62" s="22"/>
      <c r="B62" s="22"/>
      <c r="C62" s="22"/>
      <c r="D62" s="22"/>
      <c r="E62" s="22"/>
      <c r="F62" s="22"/>
      <c r="G62" s="22"/>
      <c r="H62" s="22"/>
    </row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5">
    <mergeCell ref="A1:H1"/>
    <mergeCell ref="A2:H2"/>
    <mergeCell ref="A3:H3"/>
    <mergeCell ref="A4:H4"/>
    <mergeCell ref="A23:H2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 prices</vt:lpstr>
      <vt:lpstr>Daily Sales Record</vt:lpstr>
      <vt:lpstr>Scenarios Profitability Tracker</vt:lpstr>
      <vt:lpstr>Guide</vt:lpstr>
      <vt:lpstr>Weighing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Nyondo</dc:creator>
  <cp:lastModifiedBy>Karen Nyondo</cp:lastModifiedBy>
  <dcterms:created xsi:type="dcterms:W3CDTF">2026-05-04T14:09:00Z</dcterms:created>
  <dcterms:modified xsi:type="dcterms:W3CDTF">2026-06-08T12:37:30Z</dcterms:modified>
</cp:coreProperties>
</file>